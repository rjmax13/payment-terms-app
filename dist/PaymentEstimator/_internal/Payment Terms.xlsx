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abinet\App Projects\Payment Terms\"/>
    </mc:Choice>
  </mc:AlternateContent>
  <xr:revisionPtr revIDLastSave="0" documentId="13_ncr:1_{81606991-548D-4105-8314-C118613668A2}" xr6:coauthVersionLast="47" xr6:coauthVersionMax="47" xr10:uidLastSave="{00000000-0000-0000-0000-000000000000}"/>
  <bookViews>
    <workbookView xWindow="-110" yWindow="-110" windowWidth="19420" windowHeight="10300" xr2:uid="{EB5A27B0-2CAD-424F-89DA-FF45EE1C670D}"/>
  </bookViews>
  <sheets>
    <sheet name="New Payments" sheetId="1" r:id="rId1"/>
    <sheet name="Used Payments" sheetId="2" r:id="rId2"/>
  </sheets>
  <externalReferences>
    <externalReference r:id="rId3"/>
  </externalReferences>
  <definedNames>
    <definedName name="_xlnm._FilterDatabase" localSheetId="0" hidden="1">'New Payments'!$A$1:$G$121</definedName>
    <definedName name="_xlnm._FilterDatabase" localSheetId="1" hidden="1">'Used Payments'!$A$1:$S$121</definedName>
    <definedName name="accDescription3">#REF!</definedName>
    <definedName name="accessories1">#REF!</definedName>
    <definedName name="accessories2">#REF!</definedName>
    <definedName name="accessories3">#REF!</definedName>
    <definedName name="addDiscDescription">#REF!</definedName>
    <definedName name="addDiscounts">#REF!</definedName>
    <definedName name="adminFee">#REF!</definedName>
    <definedName name="bus1Capacity">#REF!</definedName>
    <definedName name="bus1make">#REF!</definedName>
    <definedName name="bus1year">#REF!</definedName>
    <definedName name="busCapacityFormatted">#REF!</definedName>
    <definedName name="busColor">#REF!</definedName>
    <definedName name="busColorList">OFFSET(#REF!, 0, 0, COUNTA(#REF!)-1,1)</definedName>
    <definedName name="busCondition">#REF!</definedName>
    <definedName name="busGraphics">#REF!</definedName>
    <definedName name="busGVWR">#REF!</definedName>
    <definedName name="businessAddress">#REF!</definedName>
    <definedName name="businessCity">#REF!</definedName>
    <definedName name="businessLegalName">#REF!</definedName>
    <definedName name="businessState">#REF!</definedName>
    <definedName name="businessZip">#REF!</definedName>
    <definedName name="busMakeList">OFFSET(#REF!, 0, 0, COUNTA(#REF!)-1,1)</definedName>
    <definedName name="busMakeLogo">INDIRECT(bus1make)</definedName>
    <definedName name="busMasterList">INDEX((#REF!,#REF!),,,MATCH(busMasterPlanType,#REF!,0))</definedName>
    <definedName name="busMasterOptionsCost">#REF!</definedName>
    <definedName name="BusMasterOptionsList">INDEX((#REF!,#REF!,#REF!,#REF!,#REF!,#REF!),,,MATCH([0]!busMasterOptionTypes,#REF!,0))</definedName>
    <definedName name="busMasterOptionTypes">#REF!</definedName>
    <definedName name="busMasterPlanType">#REF!</definedName>
    <definedName name="busMasterSelectedOption">#REF!</definedName>
    <definedName name="busModel">#REF!</definedName>
    <definedName name="busTotal">#REF!</definedName>
    <definedName name="busType">#REF!</definedName>
    <definedName name="buydown1">#REF!</definedName>
    <definedName name="buydown2">#REF!</definedName>
    <definedName name="buydown3">#REF!</definedName>
    <definedName name="buydown4">#REF!</definedName>
    <definedName name="calc_newbus">#REF!,#REF!</definedName>
    <definedName name="chassis1Model">#REF!</definedName>
    <definedName name="chassis1Year">#REF!</definedName>
    <definedName name="chassisMake">#REF!</definedName>
    <definedName name="chassisMakeList">OFFSET(#REF!, 0, 0, COUNTA(#REF!)-1,1)</definedName>
    <definedName name="chassisMakeLogo">INDIRECT(chassisMake)</definedName>
    <definedName name="clrVin2">#REF!,#REF!,#REF!</definedName>
    <definedName name="clrVin3">#REF!,#REF!,#REF!</definedName>
    <definedName name="col_num">MATCH(regs,regsTypeList,0)</definedName>
    <definedName name="coordCell">#REF!</definedName>
    <definedName name="coordEmail">#REF!</definedName>
    <definedName name="coordMain">#REF!</definedName>
    <definedName name="countyName">#REF!</definedName>
    <definedName name="CustAdminFee">#REF!</definedName>
    <definedName name="customerCell">#REF!</definedName>
    <definedName name="customerEmail">#REF!</definedName>
    <definedName name="customerFirstName">#REF!</definedName>
    <definedName name="customerFullName">#REF!</definedName>
    <definedName name="customerLastName">#REF!</definedName>
    <definedName name="customerMain">#REF!</definedName>
    <definedName name="customerReferral">#REF!</definedName>
    <definedName name="dba">#REF!</definedName>
    <definedName name="dealTotal">[1]DataInputs!$H$43</definedName>
    <definedName name="Delivery">#REF!</definedName>
    <definedName name="deliveryAddressCheck">#REF!</definedName>
    <definedName name="deliveryBodyStyle">#REF!</definedName>
    <definedName name="deliveryFeeDescription">#REF!</definedName>
    <definedName name="deliverySoldVin">#REF!</definedName>
    <definedName name="deliveryStock">#REF!</definedName>
    <definedName name="deliveryTemplateList">OFFSET(#REF!, 0, 0, COUNTA(#REF!)-1,1)</definedName>
    <definedName name="deliveryTradeAmount">#REF!</definedName>
    <definedName name="deliveryTradeMake">#REF!</definedName>
    <definedName name="deliveryTradeVin">#REF!</definedName>
    <definedName name="deliveryTradeYear">#REF!</definedName>
    <definedName name="dfee">#REF!</definedName>
    <definedName name="dieselEngine">#REF!</definedName>
    <definedName name="discDescription">#REF!</definedName>
    <definedName name="discounts">#REF!</definedName>
    <definedName name="docTemplates">#REF!</definedName>
    <definedName name="downPymt">#REF!</definedName>
    <definedName name="entire_col">INDEX(#REF!, ,col_num)</definedName>
    <definedName name="exemptions">#REF!</definedName>
    <definedName name="finance">#REF!</definedName>
    <definedName name="Funding_Date_Btn">#REF!</definedName>
    <definedName name="gpBusOptionsLIst">INDEX((#REF!,#REF!,#REF!,#REF!,#REF!,#REF!),,,MATCH(#REF!,#REF!,0))</definedName>
    <definedName name="grandTotal">#REF!</definedName>
    <definedName name="graphicsDescription">#REF!</definedName>
    <definedName name="grossMargin">#REF!</definedName>
    <definedName name="Income">#REF!</definedName>
    <definedName name="leadSource">#REF!</definedName>
    <definedName name="leadSourceList">OFFSET(#REF!, 0, 0, COUNTA(#REF!)-1,1)</definedName>
    <definedName name="lenderList">#REF!</definedName>
    <definedName name="lienHolderAddress">#REF!</definedName>
    <definedName name="lienHolderCity">#REF!</definedName>
    <definedName name="lienHolderName">#REF!</definedName>
    <definedName name="lienHolderState">#REF!</definedName>
    <definedName name="lienHolderZip">#REF!</definedName>
    <definedName name="make_readyCost">#REF!</definedName>
    <definedName name="MakeReadyTypeList">#REF!</definedName>
    <definedName name="mileage1">#REF!</definedName>
    <definedName name="mileage2">#REF!</definedName>
    <definedName name="mileage3">#REF!</definedName>
    <definedName name="mileage4">#REF!</definedName>
    <definedName name="mvSalesTax">#REF!</definedName>
    <definedName name="mvTax">#REF!</definedName>
    <definedName name="newBodyCost">#REF!</definedName>
    <definedName name="newChassisCost">#REF!</definedName>
    <definedName name="optionPlanCost">INDEX(#REF!,AND(MATCH(#REF!,#REF!,0),MATCH(#REF!,#REF!,0)))</definedName>
    <definedName name="PAAdminFee">#REF!</definedName>
    <definedName name="paint_bodyCost">#REF!</definedName>
    <definedName name="passengers">"OFFSET(ComboLists!$AJ$3, 0, 0, COUNTA(ComboLists!$AJ$AJ)-1,1)"</definedName>
    <definedName name="paTotal">#REF!</definedName>
    <definedName name="paTotalDue">#REF!</definedName>
    <definedName name="points">[1]DataInputs!$A$55</definedName>
    <definedName name="price">#REF!</definedName>
    <definedName name="Projected_Delivery_Date_Btn">#REF!</definedName>
    <definedName name="QAdminFee">#REF!</definedName>
    <definedName name="QTotalAfterTrade">#REF!</definedName>
    <definedName name="rebateVerbage">#REF!</definedName>
    <definedName name="referralFee">#REF!</definedName>
    <definedName name="reg">#REF!</definedName>
    <definedName name="regFeeLabel">#REF!</definedName>
    <definedName name="regs">#REF!</definedName>
    <definedName name="regsStateList">OFFSET(INDEX(#REF!,1,col_num),0,0,COUNTA(entire_col))</definedName>
    <definedName name="regsTypeList">#REF!</definedName>
    <definedName name="regTotal">#REF!</definedName>
    <definedName name="revisedTotal">#REF!</definedName>
    <definedName name="salesCell">#REF!</definedName>
    <definedName name="salesCoord">#REF!</definedName>
    <definedName name="salesEmail">#REF!</definedName>
    <definedName name="salesMain">#REF!</definedName>
    <definedName name="salesman">#REF!</definedName>
    <definedName name="salesmanList">OFFSET(#REF!, 0, 0, COUNTA(#REF!)-1,1)</definedName>
    <definedName name="selectedTemplate">#REF!</definedName>
    <definedName name="soldVin1">#REF!</definedName>
    <definedName name="soldVin2">#REF!</definedName>
    <definedName name="soldVin3">#REF!</definedName>
    <definedName name="soldVin4">#REF!</definedName>
    <definedName name="specialNotes">#REF!</definedName>
    <definedName name="stock1">#REF!</definedName>
    <definedName name="stock2">#REF!</definedName>
    <definedName name="stock3">#REF!</definedName>
    <definedName name="stock4">#REF!</definedName>
    <definedName name="subdate" localSheetId="1">#REF!</definedName>
    <definedName name="subdate">#REF!</definedName>
    <definedName name="Tax">#REF!</definedName>
    <definedName name="taxState">#REF!</definedName>
    <definedName name="tblBusMake" localSheetId="1">OFFSET(#REF!,0,0,COUNTA(Gross Profit #REF!)-1,1)</definedName>
    <definedName name="tblBusMake">OFFSET(#REF!,0,0,COUNTA(Gross Profit #REF!)-1,1)</definedName>
    <definedName name="tblChassisMake" localSheetId="1">#REF!</definedName>
    <definedName name="tblChassisMake">#REF!</definedName>
    <definedName name="tblFunding" localSheetId="1">#REF!</definedName>
    <definedName name="tblFunding">#REF!</definedName>
    <definedName name="TotalAfterTrade">#REF!</definedName>
    <definedName name="totalBuyDown">#REF!</definedName>
    <definedName name="totalDealTaxes">#REF!</definedName>
    <definedName name="totalPayOff">#REF!</definedName>
    <definedName name="tradeAmt1">#REF!</definedName>
    <definedName name="tradeAmt2">#REF!</definedName>
    <definedName name="tradeAmt3">#REF!</definedName>
    <definedName name="tradeAmt4">#REF!</definedName>
    <definedName name="tradeMake1">#REF!</definedName>
    <definedName name="tradeMake1Year">#REF!</definedName>
    <definedName name="tradeMake2">#REF!</definedName>
    <definedName name="tradeMake2Year">#REF!</definedName>
    <definedName name="tradeMake3">#REF!</definedName>
    <definedName name="tradeMake3Year">#REF!</definedName>
    <definedName name="tradeMake4">#REF!</definedName>
    <definedName name="tradeMake4Year">#REF!</definedName>
    <definedName name="tradePayOff1">#REF!</definedName>
    <definedName name="tradePayOff2">#REF!</definedName>
    <definedName name="tradePayOff3">#REF!</definedName>
    <definedName name="tradePayOff4">#REF!</definedName>
    <definedName name="tradeVin1">#REF!</definedName>
    <definedName name="tradeVin2">#REF!</definedName>
    <definedName name="tradeVin3">#REF!</definedName>
    <definedName name="tradeVin4">#REF!</definedName>
    <definedName name="units">#REF!</definedName>
    <definedName name="usedBusCost">#REF!</definedName>
    <definedName name="usedBusWarrantyType">#REF!</definedName>
    <definedName name="vCalcs">#REF!</definedName>
    <definedName name="vinLIst">OFFSET(#REF!,0,0,COUNTIF(#REF!,"&lt;&gt;0")*1,1)</definedName>
    <definedName name="vitRate">#REF!</definedName>
    <definedName name="vitTaxTotal">#REF!</definedName>
    <definedName name="wheelChai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5" i="1" l="1"/>
  <c r="E35" i="1" s="1"/>
  <c r="G36" i="1"/>
  <c r="E36" i="1" s="1"/>
  <c r="G37" i="1"/>
  <c r="G38" i="1"/>
  <c r="E38" i="1" s="1"/>
  <c r="G39" i="1"/>
  <c r="E39" i="1" s="1"/>
  <c r="G40" i="1"/>
  <c r="E40" i="1" s="1"/>
  <c r="G41" i="1"/>
  <c r="E41" i="1" s="1"/>
  <c r="G42" i="1"/>
  <c r="E42" i="1" s="1"/>
  <c r="G43" i="1"/>
  <c r="E43" i="1" s="1"/>
  <c r="G44" i="1"/>
  <c r="E44" i="1" s="1"/>
  <c r="G45" i="1"/>
  <c r="E45" i="1" s="1"/>
  <c r="G46" i="1"/>
  <c r="E46" i="1" s="1"/>
  <c r="E37" i="1"/>
  <c r="G47" i="1"/>
  <c r="E47" i="1" s="1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G91" i="2"/>
  <c r="E91" i="2" s="1"/>
  <c r="G90" i="2"/>
  <c r="E90" i="2" s="1"/>
  <c r="G89" i="2"/>
  <c r="E89" i="2" s="1"/>
  <c r="G88" i="2"/>
  <c r="E88" i="2" s="1"/>
  <c r="G87" i="2"/>
  <c r="E87" i="2" s="1"/>
  <c r="G86" i="2"/>
  <c r="E86" i="2" s="1"/>
  <c r="G85" i="2"/>
  <c r="E85" i="2" s="1"/>
  <c r="G84" i="2"/>
  <c r="E84" i="2" s="1"/>
  <c r="G83" i="2"/>
  <c r="E83" i="2" s="1"/>
  <c r="G82" i="2"/>
  <c r="E82" i="2" s="1"/>
  <c r="G81" i="2"/>
  <c r="E81" i="2" s="1"/>
  <c r="G80" i="2"/>
  <c r="E80" i="2" s="1"/>
  <c r="G79" i="2"/>
  <c r="E79" i="2" s="1"/>
  <c r="G78" i="2"/>
  <c r="E78" i="2" s="1"/>
  <c r="G77" i="2"/>
  <c r="E77" i="2" s="1"/>
  <c r="G76" i="2"/>
  <c r="E76" i="2"/>
  <c r="G75" i="2"/>
  <c r="E75" i="2" s="1"/>
  <c r="G74" i="2"/>
  <c r="E74" i="2" s="1"/>
  <c r="G73" i="2"/>
  <c r="E73" i="2" s="1"/>
  <c r="G72" i="2"/>
  <c r="E72" i="2" s="1"/>
  <c r="G71" i="2"/>
  <c r="E71" i="2" s="1"/>
  <c r="G70" i="2"/>
  <c r="E70" i="2" s="1"/>
  <c r="G69" i="2"/>
  <c r="E69" i="2" s="1"/>
  <c r="G68" i="2"/>
  <c r="E68" i="2" s="1"/>
  <c r="G67" i="2"/>
  <c r="E67" i="2" s="1"/>
  <c r="G66" i="2"/>
  <c r="E66" i="2" s="1"/>
  <c r="G65" i="2"/>
  <c r="E65" i="2" s="1"/>
  <c r="G64" i="2"/>
  <c r="E64" i="2"/>
  <c r="G63" i="2"/>
  <c r="E63" i="2" s="1"/>
  <c r="G62" i="2"/>
  <c r="E62" i="2" s="1"/>
  <c r="G61" i="2"/>
  <c r="E61" i="2" s="1"/>
  <c r="G60" i="2"/>
  <c r="E60" i="2" s="1"/>
  <c r="G59" i="2"/>
  <c r="E59" i="2" s="1"/>
  <c r="G58" i="2"/>
  <c r="E58" i="2" s="1"/>
  <c r="G57" i="2"/>
  <c r="E57" i="2" s="1"/>
  <c r="G56" i="2"/>
  <c r="E56" i="2"/>
  <c r="G55" i="2"/>
  <c r="E55" i="2" s="1"/>
  <c r="G54" i="2"/>
  <c r="E54" i="2" s="1"/>
  <c r="G53" i="2"/>
  <c r="E53" i="2" s="1"/>
  <c r="G52" i="2"/>
  <c r="E52" i="2" s="1"/>
  <c r="G51" i="2"/>
  <c r="E51" i="2" s="1"/>
  <c r="G50" i="2"/>
  <c r="E50" i="2" s="1"/>
  <c r="G49" i="2"/>
  <c r="E49" i="2" s="1"/>
  <c r="G48" i="2"/>
  <c r="E48" i="2"/>
  <c r="G47" i="2"/>
  <c r="E47" i="2" s="1"/>
  <c r="G46" i="2"/>
  <c r="E46" i="2" s="1"/>
  <c r="G45" i="2"/>
  <c r="E45" i="2" s="1"/>
  <c r="G44" i="2"/>
  <c r="E44" i="2"/>
  <c r="G43" i="2"/>
  <c r="E43" i="2" s="1"/>
  <c r="G42" i="2"/>
  <c r="E42" i="2" s="1"/>
  <c r="G41" i="2"/>
  <c r="E41" i="2" s="1"/>
  <c r="G40" i="2"/>
  <c r="E40" i="2" s="1"/>
  <c r="G39" i="2"/>
  <c r="E39" i="2" s="1"/>
  <c r="K38" i="2"/>
  <c r="S38" i="2" s="1"/>
  <c r="G38" i="2"/>
  <c r="E38" i="2"/>
  <c r="S37" i="2"/>
  <c r="K37" i="2"/>
  <c r="R37" i="2" s="1"/>
  <c r="G37" i="2"/>
  <c r="E37" i="2" s="1"/>
  <c r="S36" i="2"/>
  <c r="R36" i="2"/>
  <c r="K36" i="2"/>
  <c r="Q36" i="2" s="1"/>
  <c r="G36" i="2"/>
  <c r="E36" i="2" s="1"/>
  <c r="S35" i="2"/>
  <c r="R35" i="2"/>
  <c r="Q35" i="2"/>
  <c r="K35" i="2"/>
  <c r="P35" i="2" s="1"/>
  <c r="G35" i="2"/>
  <c r="E35" i="2" s="1"/>
  <c r="Q34" i="2"/>
  <c r="P34" i="2"/>
  <c r="K34" i="2"/>
  <c r="G34" i="2"/>
  <c r="E34" i="2" s="1"/>
  <c r="K33" i="2"/>
  <c r="R33" i="2" s="1"/>
  <c r="G33" i="2"/>
  <c r="E33" i="2" s="1"/>
  <c r="G32" i="2"/>
  <c r="E32" i="2" s="1"/>
  <c r="G31" i="2"/>
  <c r="E31" i="2" s="1"/>
  <c r="G30" i="2"/>
  <c r="E30" i="2" s="1"/>
  <c r="G29" i="2"/>
  <c r="E29" i="2" s="1"/>
  <c r="G28" i="2"/>
  <c r="E28" i="2" s="1"/>
  <c r="G27" i="2"/>
  <c r="E27" i="2" s="1"/>
  <c r="G26" i="2"/>
  <c r="E26" i="2" s="1"/>
  <c r="G25" i="2"/>
  <c r="E25" i="2" s="1"/>
  <c r="G24" i="2"/>
  <c r="E24" i="2" s="1"/>
  <c r="G23" i="2"/>
  <c r="E23" i="2" s="1"/>
  <c r="G22" i="2"/>
  <c r="E22" i="2" s="1"/>
  <c r="G21" i="2"/>
  <c r="E21" i="2" s="1"/>
  <c r="G20" i="2"/>
  <c r="E20" i="2" s="1"/>
  <c r="G19" i="2"/>
  <c r="E19" i="2"/>
  <c r="Q18" i="2"/>
  <c r="P18" i="2"/>
  <c r="O18" i="2"/>
  <c r="N18" i="2"/>
  <c r="G18" i="2"/>
  <c r="E18" i="2" s="1"/>
  <c r="Q17" i="2"/>
  <c r="P17" i="2"/>
  <c r="O17" i="2"/>
  <c r="N17" i="2"/>
  <c r="G17" i="2"/>
  <c r="E17" i="2" s="1"/>
  <c r="Q16" i="2"/>
  <c r="P16" i="2"/>
  <c r="O16" i="2"/>
  <c r="N16" i="2"/>
  <c r="G16" i="2"/>
  <c r="E16" i="2" s="1"/>
  <c r="Q15" i="2"/>
  <c r="P15" i="2"/>
  <c r="O15" i="2"/>
  <c r="N15" i="2"/>
  <c r="G15" i="2"/>
  <c r="E15" i="2"/>
  <c r="Q14" i="2"/>
  <c r="S34" i="2" s="1"/>
  <c r="P14" i="2"/>
  <c r="R34" i="2" s="1"/>
  <c r="O14" i="2"/>
  <c r="N14" i="2"/>
  <c r="G14" i="2"/>
  <c r="E14" i="2" s="1"/>
  <c r="G13" i="2"/>
  <c r="E13" i="2" s="1"/>
  <c r="G12" i="2"/>
  <c r="E12" i="2" s="1"/>
  <c r="G11" i="2"/>
  <c r="E11" i="2" s="1"/>
  <c r="G10" i="2"/>
  <c r="E10" i="2" s="1"/>
  <c r="S9" i="2"/>
  <c r="R9" i="2"/>
  <c r="Q9" i="2"/>
  <c r="P9" i="2"/>
  <c r="K9" i="2"/>
  <c r="G9" i="2"/>
  <c r="E9" i="2" s="1"/>
  <c r="K8" i="2"/>
  <c r="S8" i="2" s="1"/>
  <c r="G8" i="2"/>
  <c r="E8" i="2"/>
  <c r="K7" i="2"/>
  <c r="S7" i="2" s="1"/>
  <c r="G7" i="2"/>
  <c r="E7" i="2" s="1"/>
  <c r="K6" i="2"/>
  <c r="R6" i="2" s="1"/>
  <c r="G6" i="2"/>
  <c r="E6" i="2" s="1"/>
  <c r="K5" i="2"/>
  <c r="S5" i="2" s="1"/>
  <c r="G5" i="2"/>
  <c r="E5" i="2"/>
  <c r="S4" i="2"/>
  <c r="K4" i="2"/>
  <c r="R4" i="2" s="1"/>
  <c r="G4" i="2"/>
  <c r="E4" i="2" s="1"/>
  <c r="G3" i="2"/>
  <c r="E3" i="2" s="1"/>
  <c r="G2" i="2"/>
  <c r="E2" i="2" s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G91" i="1"/>
  <c r="E91" i="1" s="1"/>
  <c r="G90" i="1"/>
  <c r="E90" i="1" s="1"/>
  <c r="G89" i="1"/>
  <c r="G88" i="1"/>
  <c r="E88" i="1" s="1"/>
  <c r="G87" i="1"/>
  <c r="E87" i="1"/>
  <c r="G86" i="1"/>
  <c r="E86" i="1" s="1"/>
  <c r="G85" i="1"/>
  <c r="E85" i="1" s="1"/>
  <c r="G84" i="1"/>
  <c r="E84" i="1" s="1"/>
  <c r="G83" i="1"/>
  <c r="E83" i="1" s="1"/>
  <c r="G82" i="1"/>
  <c r="E82" i="1" s="1"/>
  <c r="G81" i="1"/>
  <c r="E81" i="1" s="1"/>
  <c r="G80" i="1"/>
  <c r="E80" i="1" s="1"/>
  <c r="G79" i="1"/>
  <c r="E79" i="1" s="1"/>
  <c r="G78" i="1"/>
  <c r="E78" i="1" s="1"/>
  <c r="G77" i="1"/>
  <c r="E77" i="1" s="1"/>
  <c r="G76" i="1"/>
  <c r="E76" i="1" s="1"/>
  <c r="G75" i="1"/>
  <c r="E75" i="1" s="1"/>
  <c r="G74" i="1"/>
  <c r="E74" i="1" s="1"/>
  <c r="G73" i="1"/>
  <c r="E73" i="1" s="1"/>
  <c r="G72" i="1"/>
  <c r="E72" i="1" s="1"/>
  <c r="G71" i="1"/>
  <c r="E71" i="1" s="1"/>
  <c r="G70" i="1"/>
  <c r="E70" i="1" s="1"/>
  <c r="G69" i="1"/>
  <c r="E69" i="1" s="1"/>
  <c r="G68" i="1"/>
  <c r="E68" i="1" s="1"/>
  <c r="G67" i="1"/>
  <c r="E67" i="1" s="1"/>
  <c r="G66" i="1"/>
  <c r="E66" i="1" s="1"/>
  <c r="G65" i="1"/>
  <c r="E65" i="1" s="1"/>
  <c r="G64" i="1"/>
  <c r="E64" i="1" s="1"/>
  <c r="G63" i="1"/>
  <c r="E63" i="1" s="1"/>
  <c r="G62" i="1"/>
  <c r="E62" i="1" s="1"/>
  <c r="G61" i="1"/>
  <c r="E61" i="1" s="1"/>
  <c r="G60" i="1"/>
  <c r="E60" i="1" s="1"/>
  <c r="G59" i="1"/>
  <c r="E59" i="1" s="1"/>
  <c r="G58" i="1"/>
  <c r="E58" i="1" s="1"/>
  <c r="G57" i="1"/>
  <c r="E57" i="1" s="1"/>
  <c r="G56" i="1"/>
  <c r="E56" i="1" s="1"/>
  <c r="G55" i="1"/>
  <c r="E55" i="1" s="1"/>
  <c r="G54" i="1"/>
  <c r="E54" i="1" s="1"/>
  <c r="G53" i="1"/>
  <c r="E53" i="1" s="1"/>
  <c r="G52" i="1"/>
  <c r="E52" i="1" s="1"/>
  <c r="G51" i="1"/>
  <c r="E51" i="1" s="1"/>
  <c r="G50" i="1"/>
  <c r="E50" i="1" s="1"/>
  <c r="G49" i="1"/>
  <c r="E49" i="1" s="1"/>
  <c r="G48" i="1"/>
  <c r="E48" i="1" s="1"/>
  <c r="Q42" i="1"/>
  <c r="S9" i="1" s="1"/>
  <c r="P42" i="1"/>
  <c r="R9" i="1" s="1"/>
  <c r="O42" i="1"/>
  <c r="Q9" i="1" s="1"/>
  <c r="N42" i="1"/>
  <c r="P9" i="1" s="1"/>
  <c r="Q41" i="1"/>
  <c r="S8" i="1" s="1"/>
  <c r="P41" i="1"/>
  <c r="R18" i="1" s="1"/>
  <c r="O41" i="1"/>
  <c r="Q18" i="1" s="1"/>
  <c r="N41" i="1"/>
  <c r="P18" i="1" s="1"/>
  <c r="Q40" i="1"/>
  <c r="S17" i="1" s="1"/>
  <c r="P40" i="1"/>
  <c r="R17" i="1" s="1"/>
  <c r="O40" i="1"/>
  <c r="Q17" i="1" s="1"/>
  <c r="N40" i="1"/>
  <c r="P17" i="1" s="1"/>
  <c r="Q39" i="1"/>
  <c r="S16" i="1" s="1"/>
  <c r="P39" i="1"/>
  <c r="R6" i="1" s="1"/>
  <c r="O39" i="1"/>
  <c r="Q16" i="1" s="1"/>
  <c r="N39" i="1"/>
  <c r="P16" i="1" s="1"/>
  <c r="Q38" i="1"/>
  <c r="S5" i="1" s="1"/>
  <c r="P38" i="1"/>
  <c r="R5" i="1" s="1"/>
  <c r="O38" i="1"/>
  <c r="Q5" i="1" s="1"/>
  <c r="N38" i="1"/>
  <c r="P14" i="1" s="1"/>
  <c r="G34" i="1"/>
  <c r="E34" i="1" s="1"/>
  <c r="G33" i="1"/>
  <c r="E33" i="1" s="1"/>
  <c r="G32" i="1"/>
  <c r="E32" i="1" s="1"/>
  <c r="J31" i="1"/>
  <c r="G31" i="1"/>
  <c r="E31" i="1" s="1"/>
  <c r="J30" i="1"/>
  <c r="G30" i="1"/>
  <c r="E30" i="1" s="1"/>
  <c r="G29" i="1"/>
  <c r="E29" i="1" s="1"/>
  <c r="G28" i="1"/>
  <c r="E28" i="1" s="1"/>
  <c r="G27" i="1"/>
  <c r="E27" i="1" s="1"/>
  <c r="G26" i="1"/>
  <c r="E26" i="1" s="1"/>
  <c r="G25" i="1"/>
  <c r="E25" i="1" s="1"/>
  <c r="G24" i="1"/>
  <c r="E24" i="1" s="1"/>
  <c r="Z23" i="1"/>
  <c r="G23" i="1"/>
  <c r="E23" i="1" s="1"/>
  <c r="Z22" i="1"/>
  <c r="G22" i="1"/>
  <c r="E22" i="1" s="1"/>
  <c r="G21" i="1"/>
  <c r="E21" i="1" s="1"/>
  <c r="G20" i="1"/>
  <c r="E20" i="1" s="1"/>
  <c r="G19" i="1"/>
  <c r="E19" i="1" s="1"/>
  <c r="G18" i="1"/>
  <c r="E18" i="1" s="1"/>
  <c r="G17" i="1"/>
  <c r="E17" i="1" s="1"/>
  <c r="G16" i="1"/>
  <c r="E16" i="1" s="1"/>
  <c r="G15" i="1"/>
  <c r="E15" i="1" s="1"/>
  <c r="G14" i="1"/>
  <c r="E14" i="1"/>
  <c r="S13" i="1"/>
  <c r="R13" i="1"/>
  <c r="Q13" i="1"/>
  <c r="P13" i="1"/>
  <c r="G13" i="1"/>
  <c r="E13" i="1" s="1"/>
  <c r="G12" i="1"/>
  <c r="E12" i="1"/>
  <c r="G11" i="1"/>
  <c r="E11" i="1" s="1"/>
  <c r="G10" i="1"/>
  <c r="E10" i="1" s="1"/>
  <c r="G9" i="1"/>
  <c r="E9" i="1" s="1"/>
  <c r="G8" i="1"/>
  <c r="E8" i="1" s="1"/>
  <c r="G7" i="1"/>
  <c r="E7" i="1" s="1"/>
  <c r="G6" i="1"/>
  <c r="E6" i="1"/>
  <c r="G5" i="1"/>
  <c r="E5" i="1" s="1"/>
  <c r="S4" i="1"/>
  <c r="R4" i="1"/>
  <c r="Q4" i="1"/>
  <c r="P4" i="1"/>
  <c r="G4" i="1"/>
  <c r="E4" i="1" s="1"/>
  <c r="G3" i="1"/>
  <c r="E3" i="1" s="1"/>
  <c r="G2" i="1"/>
  <c r="E2" i="1" s="1"/>
  <c r="S14" i="1" l="1"/>
  <c r="P5" i="1"/>
  <c r="R14" i="1"/>
  <c r="S18" i="1"/>
  <c r="P7" i="1"/>
  <c r="S6" i="1"/>
  <c r="Q14" i="1"/>
  <c r="Q7" i="1"/>
  <c r="P8" i="1"/>
  <c r="Q8" i="1"/>
  <c r="P15" i="1"/>
  <c r="R8" i="1"/>
  <c r="Q15" i="1"/>
  <c r="R15" i="1"/>
  <c r="R16" i="1"/>
  <c r="S15" i="1"/>
  <c r="P8" i="2"/>
  <c r="P33" i="2"/>
  <c r="P7" i="2"/>
  <c r="Q33" i="2"/>
  <c r="Q7" i="2"/>
  <c r="P5" i="2"/>
  <c r="R7" i="2"/>
  <c r="S33" i="2"/>
  <c r="P38" i="2"/>
  <c r="Q5" i="2"/>
  <c r="Q38" i="2"/>
  <c r="P6" i="1"/>
  <c r="Q4" i="2"/>
  <c r="R5" i="2"/>
  <c r="S6" i="2"/>
  <c r="P36" i="2"/>
  <c r="Q37" i="2"/>
  <c r="R38" i="2"/>
  <c r="Q8" i="2"/>
  <c r="P6" i="2"/>
  <c r="R8" i="2"/>
  <c r="Q6" i="2"/>
  <c r="P4" i="2"/>
  <c r="P37" i="2"/>
  <c r="R7" i="1"/>
  <c r="Q6" i="1"/>
  <c r="S7" i="1"/>
</calcChain>
</file>

<file path=xl/sharedStrings.xml><?xml version="1.0" encoding="utf-8"?>
<sst xmlns="http://schemas.openxmlformats.org/spreadsheetml/2006/main" count="350" uniqueCount="58">
  <si>
    <t>Points</t>
  </si>
  <si>
    <t>Loan Type</t>
  </si>
  <si>
    <t>Term-Months</t>
  </si>
  <si>
    <t>New Bus Rate</t>
  </si>
  <si>
    <t>Monthly Payment</t>
  </si>
  <si>
    <t>Residual</t>
  </si>
  <si>
    <t>Balloon Amount</t>
  </si>
  <si>
    <t>Walk-away</t>
  </si>
  <si>
    <t>Loan/Lease (FMV)</t>
  </si>
  <si>
    <t>Adjusted - with points</t>
  </si>
  <si>
    <t>Copied</t>
  </si>
  <si>
    <t>0 &amp; 1</t>
  </si>
  <si>
    <t>24mo.</t>
  </si>
  <si>
    <t>36mo.</t>
  </si>
  <si>
    <t>48mo.</t>
  </si>
  <si>
    <t>60mo.</t>
  </si>
  <si>
    <t>72mo.</t>
  </si>
  <si>
    <t>84mo.</t>
  </si>
  <si>
    <t>Trac</t>
  </si>
  <si>
    <t>rate adjustment per Brad</t>
  </si>
  <si>
    <t>LOAN</t>
  </si>
  <si>
    <t>Return Lease (FMV)</t>
  </si>
  <si>
    <t>Trac Lease</t>
  </si>
  <si>
    <t>Trac lease rates do not apply to non for profits</t>
  </si>
  <si>
    <t>24 - 35 months</t>
  </si>
  <si>
    <t>8.30%  </t>
  </si>
  <si>
    <t>8.30%                                </t>
  </si>
  <si>
    <t>36 - 42 months</t>
  </si>
  <si>
    <t>8.20%  </t>
  </si>
  <si>
    <t>8.20%                                 </t>
  </si>
  <si>
    <t>Trac Rates</t>
  </si>
  <si>
    <t>43 - 54 months</t>
  </si>
  <si>
    <t>8.11%  </t>
  </si>
  <si>
    <t>8.11%                                 </t>
  </si>
  <si>
    <t>24-48 mo deduct    .9%</t>
  </si>
  <si>
    <t>55 - 66 months</t>
  </si>
  <si>
    <t>8.05%  </t>
  </si>
  <si>
    <t>8.05%                                 </t>
  </si>
  <si>
    <t>60-84 mo deduct  1.1%</t>
  </si>
  <si>
    <t>67 - 78 months</t>
  </si>
  <si>
    <t>79 - 84 months</t>
  </si>
  <si>
    <t>Used bus increase by .25%</t>
  </si>
  <si>
    <r>
      <t>LOAN</t>
    </r>
    <r>
      <rPr>
        <sz val="11"/>
        <rFont val="Cambria"/>
        <family val="1"/>
      </rPr>
      <t xml:space="preserve">             </t>
    </r>
    <r>
      <rPr>
        <b/>
        <u/>
        <sz val="11"/>
        <rFont val="Cambria"/>
        <family val="1"/>
      </rPr>
      <t>Return Lease (FMV</t>
    </r>
    <r>
      <rPr>
        <b/>
        <u/>
        <sz val="12"/>
        <rFont val="Cambria"/>
        <family val="1"/>
      </rPr>
      <t>)</t>
    </r>
    <r>
      <rPr>
        <sz val="12"/>
        <rFont val="Cambria"/>
        <family val="1"/>
      </rPr>
      <t xml:space="preserve">        </t>
    </r>
    <r>
      <rPr>
        <b/>
        <u/>
        <sz val="9"/>
        <rFont val="Cambria"/>
        <family val="1"/>
      </rPr>
      <t>TRAC Lease</t>
    </r>
    <r>
      <rPr>
        <b/>
        <sz val="9"/>
        <rFont val="Cambria"/>
        <family val="1"/>
      </rPr>
      <t xml:space="preserve"> (501c3 does not qualify) </t>
    </r>
  </si>
  <si>
    <t>POINTS</t>
  </si>
  <si>
    <t>Rate increase per dealer fee points</t>
  </si>
  <si>
    <t xml:space="preserve">24 months      1.00%                                     </t>
  </si>
  <si>
    <t xml:space="preserve">36 months      0.67%                                     </t>
  </si>
  <si>
    <t xml:space="preserve">48 months      0.51%                                     </t>
  </si>
  <si>
    <t xml:space="preserve">60 months      0.42%                                     </t>
  </si>
  <si>
    <t xml:space="preserve">72 months      0.35%                                     </t>
  </si>
  <si>
    <t xml:space="preserve">84 months      0.31%                                     </t>
  </si>
  <si>
    <t>Balloon</t>
  </si>
  <si>
    <t>Straight</t>
  </si>
  <si>
    <t>Used Bus Rate</t>
  </si>
  <si>
    <t>Used</t>
  </si>
  <si>
    <t>Loan</t>
  </si>
  <si>
    <t>Adjusted - used rate</t>
  </si>
  <si>
    <t>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</si>
</sst>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0.0000%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name val="Calibri"/>
      <family val="2"/>
    </font>
    <font>
      <sz val="18"/>
      <color theme="0" tint="-4.9989318521683403E-2"/>
      <name val="Calibri"/>
      <family val="2"/>
      <scheme val="minor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2"/>
      <color theme="0" tint="-0.1499984740745262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mbria"/>
      <family val="1"/>
    </font>
    <font>
      <sz val="11"/>
      <name val="Cambria"/>
      <family val="1"/>
    </font>
    <font>
      <b/>
      <u/>
      <sz val="12"/>
      <name val="Cambria"/>
      <family val="1"/>
    </font>
    <font>
      <sz val="12"/>
      <name val="Cambria"/>
      <family val="1"/>
    </font>
    <font>
      <b/>
      <u/>
      <sz val="9"/>
      <name val="Cambria"/>
      <family val="1"/>
    </font>
    <font>
      <b/>
      <sz val="9"/>
      <name val="Cambria"/>
      <family val="1"/>
    </font>
    <font>
      <sz val="18"/>
      <color theme="0" tint="-0.14999847407452621"/>
      <name val="Calibri"/>
      <family val="2"/>
      <scheme val="minor"/>
    </font>
    <font>
      <sz val="12"/>
      <color theme="0" tint="-0.14999847407452621"/>
      <name val="Cambria"/>
      <family val="1"/>
    </font>
    <font>
      <sz val="11"/>
      <color theme="0" tint="-0.149998474074526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10" fontId="7" fillId="3" borderId="1" xfId="2" applyNumberFormat="1" applyFont="1" applyFill="1" applyBorder="1"/>
    <xf numFmtId="8" fontId="6" fillId="4" borderId="1" xfId="1" applyNumberFormat="1" applyFont="1" applyFill="1" applyBorder="1" applyAlignment="1">
      <alignment horizontal="center"/>
    </xf>
    <xf numFmtId="9" fontId="7" fillId="3" borderId="1" xfId="2" applyFont="1" applyFill="1" applyBorder="1"/>
    <xf numFmtId="44" fontId="7" fillId="3" borderId="1" xfId="1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10" fontId="9" fillId="0" borderId="0" xfId="2" applyNumberFormat="1" applyFont="1"/>
    <xf numFmtId="10" fontId="9" fillId="0" borderId="0" xfId="0" applyNumberFormat="1" applyFont="1"/>
    <xf numFmtId="10" fontId="9" fillId="5" borderId="0" xfId="2" applyNumberFormat="1" applyFont="1" applyFill="1"/>
    <xf numFmtId="0" fontId="10" fillId="0" borderId="0" xfId="0" applyFont="1" applyAlignment="1">
      <alignment vertical="center"/>
    </xf>
    <xf numFmtId="0" fontId="9" fillId="5" borderId="0" xfId="0" applyFont="1" applyFill="1"/>
    <xf numFmtId="9" fontId="9" fillId="0" borderId="0" xfId="2" applyFont="1"/>
    <xf numFmtId="0" fontId="11" fillId="0" borderId="0" xfId="0" applyFont="1" applyAlignment="1">
      <alignment horizontal="left" vertical="center" indent="9"/>
    </xf>
    <xf numFmtId="0" fontId="14" fillId="0" borderId="0" xfId="0" applyFont="1" applyAlignment="1">
      <alignment vertical="center"/>
    </xf>
    <xf numFmtId="164" fontId="9" fillId="0" borderId="0" xfId="2" applyNumberFormat="1" applyFont="1"/>
    <xf numFmtId="0" fontId="17" fillId="0" borderId="0" xfId="0" applyFont="1"/>
    <xf numFmtId="10" fontId="8" fillId="0" borderId="0" xfId="2" applyNumberFormat="1" applyFont="1"/>
    <xf numFmtId="10" fontId="8" fillId="0" borderId="0" xfId="0" applyNumberFormat="1" applyFont="1"/>
    <xf numFmtId="0" fontId="18" fillId="0" borderId="0" xfId="0" applyFont="1" applyAlignment="1">
      <alignment vertical="center"/>
    </xf>
    <xf numFmtId="164" fontId="8" fillId="0" borderId="0" xfId="2" applyNumberFormat="1" applyFont="1"/>
    <xf numFmtId="0" fontId="19" fillId="0" borderId="0" xfId="0" applyFont="1" applyAlignment="1">
      <alignment vertical="center"/>
    </xf>
    <xf numFmtId="165" fontId="8" fillId="0" borderId="0" xfId="2" applyNumberFormat="1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udsonbussales-my.sharepoint.com/personal/rodm_hudsonbussales_com/Documents/Desktop/BWorkbook/HBS%20Sales%20WorkSheet_v7.2%20-%202022%20Collins%20SL400%2014p%20Stk260166.xlsm" TargetMode="External"/><Relationship Id="rId1" Type="http://schemas.openxmlformats.org/officeDocument/2006/relationships/externalLinkPath" Target="https://hudsonbussales-my.sharepoint.com/personal/rodm_hudsonbussales_com/Documents/Desktop/BWorkbook/HBS%20Sales%20WorkSheet_v7.2%20-%202022%20Collins%20SL400%2014p%20Stk26016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cture Presentation"/>
      <sheetName val="Specifications"/>
      <sheetName val="Quotation"/>
      <sheetName val="Purchase Agreement"/>
      <sheetName val="Gross Profit Report"/>
      <sheetName val="Schedule A"/>
      <sheetName val="Sales Work Order"/>
      <sheetName val="DataInputs"/>
      <sheetName val="Calculator"/>
      <sheetName val="New Payments"/>
      <sheetName val="Used Payments"/>
      <sheetName val="Delivery Documents"/>
      <sheetName val="Window Sticker"/>
      <sheetName val="ComboLists"/>
      <sheetName val="Sales Tax"/>
      <sheetName val="Delivery Docs"/>
      <sheetName val="Bus Master"/>
      <sheetName val="Templates"/>
      <sheetName val="printGrossProfit"/>
      <sheetName val="HBS Sales WorkSheet_v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3">
          <cell r="H43">
            <v>73645</v>
          </cell>
        </row>
        <row r="55">
          <cell r="A55">
            <v>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BF138-CEAA-4B16-AB3E-AE4605B81F4C}">
  <sheetPr codeName="Sheet2"/>
  <dimension ref="A1:AC121"/>
  <sheetViews>
    <sheetView showGridLines="0" tabSelected="1" workbookViewId="0">
      <selection sqref="A1:G47"/>
    </sheetView>
  </sheetViews>
  <sheetFormatPr defaultColWidth="9" defaultRowHeight="15.5" x14ac:dyDescent="0.35"/>
  <cols>
    <col min="1" max="1" width="22.75" bestFit="1" customWidth="1"/>
    <col min="2" max="2" width="17.75" bestFit="1" customWidth="1"/>
    <col min="3" max="4" width="22.58203125" bestFit="1" customWidth="1"/>
    <col min="5" max="5" width="27.75" bestFit="1" customWidth="1"/>
    <col min="6" max="6" width="15.75" bestFit="1" customWidth="1"/>
    <col min="7" max="7" width="25.75" bestFit="1" customWidth="1"/>
    <col min="8" max="8" width="9" customWidth="1"/>
    <col min="9" max="9" width="16.83203125" customWidth="1"/>
    <col min="11" max="11" width="6.75" bestFit="1" customWidth="1"/>
    <col min="17" max="17" width="8.25" customWidth="1"/>
    <col min="19" max="19" width="9.75" bestFit="1" customWidth="1"/>
  </cols>
  <sheetData>
    <row r="1" spans="1:29" s="4" customFormat="1" ht="23.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3"/>
      <c r="K1" s="3"/>
      <c r="L1" s="3"/>
      <c r="M1" s="3"/>
      <c r="N1" s="3"/>
      <c r="O1" s="3"/>
      <c r="T1" s="3"/>
      <c r="U1" s="2"/>
      <c r="V1" s="2"/>
      <c r="W1" s="2"/>
      <c r="X1" s="2"/>
      <c r="Y1" s="2"/>
      <c r="Z1" s="2"/>
      <c r="AA1" s="2"/>
      <c r="AB1" s="2"/>
      <c r="AC1" s="2"/>
    </row>
    <row r="2" spans="1:29" ht="18" x14ac:dyDescent="0.4">
      <c r="A2" s="5">
        <v>0</v>
      </c>
      <c r="B2" s="5" t="s">
        <v>7</v>
      </c>
      <c r="C2" s="6">
        <v>24</v>
      </c>
      <c r="D2" s="7">
        <v>9.2999999999999999E-2</v>
      </c>
      <c r="E2" s="8">
        <f t="shared" ref="E2:E33" si="0">PMT(D2/12,C2,-dealTotal,G2)</f>
        <v>1692.2887716849652</v>
      </c>
      <c r="F2" s="9">
        <v>0.6</v>
      </c>
      <c r="G2" s="10">
        <f t="shared" ref="G2:G33" si="1">SUM(dealTotal*F2)</f>
        <v>44187</v>
      </c>
      <c r="H2" s="11"/>
      <c r="I2" s="12" t="s">
        <v>8</v>
      </c>
      <c r="J2" s="12"/>
      <c r="K2" s="12"/>
      <c r="L2" s="12"/>
      <c r="M2" s="12"/>
      <c r="N2" s="12"/>
      <c r="O2" s="12"/>
      <c r="P2" s="12" t="s">
        <v>9</v>
      </c>
      <c r="Q2" s="12"/>
      <c r="R2" s="12"/>
      <c r="S2" s="12"/>
      <c r="T2" s="12"/>
      <c r="U2" s="12" t="s">
        <v>10</v>
      </c>
      <c r="V2" s="12"/>
      <c r="W2" s="12"/>
      <c r="X2" s="12"/>
      <c r="Y2" s="12"/>
      <c r="Z2" s="12"/>
      <c r="AA2" s="12"/>
      <c r="AB2" s="12"/>
      <c r="AC2" s="12"/>
    </row>
    <row r="3" spans="1:29" ht="18" x14ac:dyDescent="0.4">
      <c r="A3" s="5">
        <v>0</v>
      </c>
      <c r="B3" s="5" t="s">
        <v>7</v>
      </c>
      <c r="C3" s="6">
        <v>36</v>
      </c>
      <c r="D3" s="7">
        <v>8.8700000000000001E-2</v>
      </c>
      <c r="E3" s="8">
        <f t="shared" si="0"/>
        <v>1351.2447388993205</v>
      </c>
      <c r="F3" s="9">
        <v>0.55000000000000004</v>
      </c>
      <c r="G3" s="10">
        <f t="shared" si="1"/>
        <v>40504.75</v>
      </c>
      <c r="H3" s="11"/>
      <c r="I3" s="12"/>
      <c r="J3" s="12"/>
      <c r="K3" s="12"/>
      <c r="L3" s="12"/>
      <c r="M3" s="12"/>
      <c r="N3" s="12"/>
      <c r="O3" s="12"/>
      <c r="P3" s="12" t="s">
        <v>11</v>
      </c>
      <c r="Q3" s="12">
        <v>2</v>
      </c>
      <c r="R3" s="12">
        <v>3</v>
      </c>
      <c r="S3" s="12">
        <v>4</v>
      </c>
      <c r="T3" s="12"/>
      <c r="U3" s="12" t="s">
        <v>11</v>
      </c>
      <c r="V3" s="12">
        <v>2</v>
      </c>
      <c r="W3" s="12">
        <v>3</v>
      </c>
      <c r="X3" s="12">
        <v>4</v>
      </c>
      <c r="Y3" s="12"/>
      <c r="Z3" s="12"/>
      <c r="AA3" s="12"/>
      <c r="AB3" s="12"/>
      <c r="AC3" s="12"/>
    </row>
    <row r="4" spans="1:29" ht="18" x14ac:dyDescent="0.4">
      <c r="A4" s="5">
        <v>0</v>
      </c>
      <c r="B4" s="5" t="s">
        <v>7</v>
      </c>
      <c r="C4" s="6">
        <v>48</v>
      </c>
      <c r="D4" s="7">
        <v>8.6199999999999999E-2</v>
      </c>
      <c r="E4" s="8">
        <f t="shared" si="0"/>
        <v>1174.2080427339276</v>
      </c>
      <c r="F4" s="9">
        <v>0.5</v>
      </c>
      <c r="G4" s="10">
        <f t="shared" si="1"/>
        <v>36822.5</v>
      </c>
      <c r="H4" s="11"/>
      <c r="I4" s="12"/>
      <c r="J4" s="12" t="s">
        <v>12</v>
      </c>
      <c r="K4" s="13">
        <v>8.3000000000000004E-2</v>
      </c>
      <c r="L4" s="13"/>
      <c r="M4" s="13"/>
      <c r="N4" s="13"/>
      <c r="O4" s="12"/>
      <c r="P4" s="13">
        <f>SUM($K4,N37)</f>
        <v>9.2999999999999999E-2</v>
      </c>
      <c r="Q4" s="13">
        <f t="shared" ref="Q4:S9" si="2">SUM($K4,O37)</f>
        <v>0.10300000000000001</v>
      </c>
      <c r="R4" s="13">
        <f t="shared" si="2"/>
        <v>0.113</v>
      </c>
      <c r="S4" s="13">
        <f t="shared" si="2"/>
        <v>0.123</v>
      </c>
      <c r="T4" s="12"/>
      <c r="U4" s="14">
        <v>9.2999999999999999E-2</v>
      </c>
      <c r="V4" s="14">
        <v>0.10300000000000001</v>
      </c>
      <c r="W4" s="14">
        <v>0.113</v>
      </c>
      <c r="X4" s="14">
        <v>0.123</v>
      </c>
      <c r="Y4" s="12"/>
      <c r="Z4" s="12"/>
      <c r="AA4" s="12"/>
      <c r="AB4" s="12"/>
      <c r="AC4" s="12"/>
    </row>
    <row r="5" spans="1:29" ht="18" x14ac:dyDescent="0.4">
      <c r="A5" s="5">
        <v>0</v>
      </c>
      <c r="B5" s="5" t="s">
        <v>7</v>
      </c>
      <c r="C5" s="6">
        <v>60</v>
      </c>
      <c r="D5" s="7">
        <v>8.4699999999999998E-2</v>
      </c>
      <c r="E5" s="8">
        <f t="shared" si="0"/>
        <v>1064.3463734391005</v>
      </c>
      <c r="F5" s="9">
        <v>0.45</v>
      </c>
      <c r="G5" s="10">
        <f t="shared" si="1"/>
        <v>33140.25</v>
      </c>
      <c r="H5" s="11"/>
      <c r="I5" s="12"/>
      <c r="J5" s="12" t="s">
        <v>13</v>
      </c>
      <c r="K5" s="13">
        <v>8.2000000000000003E-2</v>
      </c>
      <c r="L5" s="13"/>
      <c r="M5" s="13"/>
      <c r="N5" s="13"/>
      <c r="O5" s="12"/>
      <c r="P5" s="13">
        <f>SUM($K5,N38)</f>
        <v>8.8700000000000001E-2</v>
      </c>
      <c r="Q5" s="13">
        <f t="shared" si="2"/>
        <v>9.5399999999999999E-2</v>
      </c>
      <c r="R5" s="13">
        <f t="shared" si="2"/>
        <v>0.1021</v>
      </c>
      <c r="S5" s="13">
        <f>SUM($K5,Q38)</f>
        <v>0.10880000000000001</v>
      </c>
      <c r="T5" s="12"/>
      <c r="U5" s="14">
        <v>8.8700000000000001E-2</v>
      </c>
      <c r="V5" s="14">
        <v>9.5399999999999999E-2</v>
      </c>
      <c r="W5" s="14">
        <v>0.1021</v>
      </c>
      <c r="X5" s="14">
        <v>0.10880000000000001</v>
      </c>
      <c r="Y5" s="12"/>
      <c r="Z5" s="12"/>
      <c r="AA5" s="12"/>
      <c r="AB5" s="12"/>
      <c r="AC5" s="12"/>
    </row>
    <row r="6" spans="1:29" ht="18" x14ac:dyDescent="0.4">
      <c r="A6" s="5">
        <v>0</v>
      </c>
      <c r="B6" s="5" t="s">
        <v>7</v>
      </c>
      <c r="C6" s="6">
        <v>72</v>
      </c>
      <c r="D6" s="7">
        <v>8.4000000000000005E-2</v>
      </c>
      <c r="E6" s="8">
        <f t="shared" si="0"/>
        <v>989.60593494104239</v>
      </c>
      <c r="F6" s="9">
        <v>0.4</v>
      </c>
      <c r="G6" s="10">
        <f t="shared" si="1"/>
        <v>29458</v>
      </c>
      <c r="H6" s="11"/>
      <c r="I6" s="12"/>
      <c r="J6" s="12" t="s">
        <v>14</v>
      </c>
      <c r="K6" s="13">
        <v>8.1100000000000005E-2</v>
      </c>
      <c r="L6" s="13"/>
      <c r="M6" s="13"/>
      <c r="N6" s="13"/>
      <c r="O6" s="12"/>
      <c r="P6" s="13">
        <f>SUM($K6,N39)</f>
        <v>8.6199999999999999E-2</v>
      </c>
      <c r="Q6" s="13">
        <f t="shared" si="2"/>
        <v>9.1300000000000006E-2</v>
      </c>
      <c r="R6" s="13">
        <f t="shared" si="2"/>
        <v>9.6400000000000013E-2</v>
      </c>
      <c r="S6" s="13">
        <f t="shared" si="2"/>
        <v>0.10150000000000001</v>
      </c>
      <c r="T6" s="12"/>
      <c r="U6" s="14">
        <v>8.6199999999999999E-2</v>
      </c>
      <c r="V6" s="14">
        <v>9.1300000000000006E-2</v>
      </c>
      <c r="W6" s="14">
        <v>9.6400000000000013E-2</v>
      </c>
      <c r="X6" s="14">
        <v>0.10150000000000001</v>
      </c>
      <c r="Y6" s="12"/>
      <c r="Z6" s="12"/>
      <c r="AA6" s="12"/>
      <c r="AB6" s="12"/>
      <c r="AC6" s="12"/>
    </row>
    <row r="7" spans="1:29" ht="18" x14ac:dyDescent="0.4">
      <c r="A7" s="5">
        <v>0</v>
      </c>
      <c r="B7" s="5" t="s">
        <v>7</v>
      </c>
      <c r="C7" s="6">
        <v>84</v>
      </c>
      <c r="D7" s="7">
        <v>8.3600000000000008E-2</v>
      </c>
      <c r="E7" s="8">
        <f t="shared" si="0"/>
        <v>934.2860329613095</v>
      </c>
      <c r="F7" s="9">
        <v>0.35</v>
      </c>
      <c r="G7" s="10">
        <f t="shared" si="1"/>
        <v>25775.75</v>
      </c>
      <c r="H7" s="11"/>
      <c r="I7" s="12"/>
      <c r="J7" s="12" t="s">
        <v>15</v>
      </c>
      <c r="K7" s="13">
        <v>8.0500000000000002E-2</v>
      </c>
      <c r="L7" s="13"/>
      <c r="M7" s="13"/>
      <c r="N7" s="13"/>
      <c r="O7" s="12"/>
      <c r="P7" s="13">
        <f>SUM($K7,N40)</f>
        <v>8.4699999999999998E-2</v>
      </c>
      <c r="Q7" s="13">
        <f t="shared" si="2"/>
        <v>8.8900000000000007E-2</v>
      </c>
      <c r="R7" s="13">
        <f t="shared" si="2"/>
        <v>9.3100000000000002E-2</v>
      </c>
      <c r="S7" s="13">
        <f t="shared" si="2"/>
        <v>9.7299999999999998E-2</v>
      </c>
      <c r="T7" s="12"/>
      <c r="U7" s="14">
        <v>8.4699999999999998E-2</v>
      </c>
      <c r="V7" s="14">
        <v>8.8900000000000007E-2</v>
      </c>
      <c r="W7" s="14">
        <v>9.3100000000000002E-2</v>
      </c>
      <c r="X7" s="14">
        <v>9.7299999999999998E-2</v>
      </c>
      <c r="Y7" s="12"/>
      <c r="Z7" s="12"/>
      <c r="AA7" s="12"/>
      <c r="AB7" s="12"/>
      <c r="AC7" s="12"/>
    </row>
    <row r="8" spans="1:29" ht="18" x14ac:dyDescent="0.4">
      <c r="A8" s="5">
        <v>1</v>
      </c>
      <c r="B8" s="5" t="s">
        <v>7</v>
      </c>
      <c r="C8" s="6">
        <v>24</v>
      </c>
      <c r="D8" s="7">
        <v>9.2999999999999999E-2</v>
      </c>
      <c r="E8" s="8">
        <f t="shared" si="0"/>
        <v>1692.2887716849652</v>
      </c>
      <c r="F8" s="9">
        <v>0.6</v>
      </c>
      <c r="G8" s="10">
        <f t="shared" si="1"/>
        <v>44187</v>
      </c>
      <c r="H8" s="11"/>
      <c r="I8" s="12"/>
      <c r="J8" s="12" t="s">
        <v>16</v>
      </c>
      <c r="K8" s="13">
        <v>8.0500000000000002E-2</v>
      </c>
      <c r="L8" s="13"/>
      <c r="M8" s="13"/>
      <c r="N8" s="13"/>
      <c r="O8" s="12"/>
      <c r="P8" s="13">
        <f t="shared" ref="P8:P9" si="3">SUM($K8,N41)</f>
        <v>8.4000000000000005E-2</v>
      </c>
      <c r="Q8" s="13">
        <f t="shared" si="2"/>
        <v>8.7500000000000008E-2</v>
      </c>
      <c r="R8" s="13">
        <f t="shared" si="2"/>
        <v>9.0999999999999998E-2</v>
      </c>
      <c r="S8" s="13">
        <f t="shared" si="2"/>
        <v>9.4500000000000001E-2</v>
      </c>
      <c r="T8" s="12"/>
      <c r="U8" s="14">
        <v>8.4000000000000005E-2</v>
      </c>
      <c r="V8" s="14">
        <v>8.7500000000000008E-2</v>
      </c>
      <c r="W8" s="14">
        <v>9.0999999999999998E-2</v>
      </c>
      <c r="X8" s="14">
        <v>9.4500000000000001E-2</v>
      </c>
      <c r="Y8" s="12"/>
      <c r="Z8" s="12"/>
      <c r="AA8" s="12"/>
      <c r="AB8" s="12"/>
      <c r="AC8" s="12"/>
    </row>
    <row r="9" spans="1:29" ht="18" x14ac:dyDescent="0.4">
      <c r="A9" s="5">
        <v>1</v>
      </c>
      <c r="B9" s="5" t="s">
        <v>7</v>
      </c>
      <c r="C9" s="6">
        <v>36</v>
      </c>
      <c r="D9" s="7">
        <v>8.8700000000000001E-2</v>
      </c>
      <c r="E9" s="8">
        <f t="shared" si="0"/>
        <v>1351.2447388993205</v>
      </c>
      <c r="F9" s="9">
        <v>0.55000000000000004</v>
      </c>
      <c r="G9" s="10">
        <f t="shared" si="1"/>
        <v>40504.75</v>
      </c>
      <c r="H9" s="11"/>
      <c r="I9" s="12"/>
      <c r="J9" s="12" t="s">
        <v>17</v>
      </c>
      <c r="K9" s="13">
        <v>8.0500000000000002E-2</v>
      </c>
      <c r="L9" s="13"/>
      <c r="M9" s="13"/>
      <c r="N9" s="13"/>
      <c r="O9" s="12"/>
      <c r="P9" s="13">
        <f t="shared" si="3"/>
        <v>8.3600000000000008E-2</v>
      </c>
      <c r="Q9" s="13">
        <f t="shared" si="2"/>
        <v>8.6699999999999999E-2</v>
      </c>
      <c r="R9" s="13">
        <f t="shared" si="2"/>
        <v>8.9800000000000005E-2</v>
      </c>
      <c r="S9" s="13">
        <f t="shared" si="2"/>
        <v>9.2899999999999996E-2</v>
      </c>
      <c r="T9" s="12"/>
      <c r="U9" s="14">
        <v>8.3600000000000008E-2</v>
      </c>
      <c r="V9" s="14">
        <v>8.6699999999999999E-2</v>
      </c>
      <c r="W9" s="14">
        <v>8.9800000000000005E-2</v>
      </c>
      <c r="X9" s="14">
        <v>9.2899999999999996E-2</v>
      </c>
      <c r="Y9" s="12"/>
      <c r="Z9" s="12"/>
      <c r="AA9" s="12"/>
      <c r="AB9" s="12"/>
      <c r="AC9" s="12"/>
    </row>
    <row r="10" spans="1:29" ht="18" x14ac:dyDescent="0.4">
      <c r="A10" s="5">
        <v>1</v>
      </c>
      <c r="B10" s="5" t="s">
        <v>7</v>
      </c>
      <c r="C10" s="6">
        <v>48</v>
      </c>
      <c r="D10" s="7">
        <v>8.6199999999999999E-2</v>
      </c>
      <c r="E10" s="8">
        <f t="shared" si="0"/>
        <v>1174.2080427339276</v>
      </c>
      <c r="F10" s="9">
        <v>0.5</v>
      </c>
      <c r="G10" s="10">
        <f t="shared" si="1"/>
        <v>36822.5</v>
      </c>
      <c r="H10" s="11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 ht="18" x14ac:dyDescent="0.4">
      <c r="A11" s="5">
        <v>1</v>
      </c>
      <c r="B11" s="5" t="s">
        <v>7</v>
      </c>
      <c r="C11" s="6">
        <v>60</v>
      </c>
      <c r="D11" s="7">
        <v>8.4699999999999998E-2</v>
      </c>
      <c r="E11" s="8">
        <f t="shared" si="0"/>
        <v>1064.3463734391005</v>
      </c>
      <c r="F11" s="9">
        <v>0.45</v>
      </c>
      <c r="G11" s="10">
        <f t="shared" si="1"/>
        <v>33140.25</v>
      </c>
      <c r="H11" s="11"/>
      <c r="I11" s="12" t="s">
        <v>18</v>
      </c>
      <c r="J11" s="12"/>
      <c r="K11" s="12"/>
      <c r="L11" s="12"/>
      <c r="M11" s="12"/>
      <c r="N11" s="12"/>
      <c r="O11" s="12"/>
      <c r="P11" s="12" t="s">
        <v>9</v>
      </c>
      <c r="Q11" s="12"/>
      <c r="R11" s="12"/>
      <c r="S11" s="12"/>
      <c r="T11" s="12"/>
      <c r="U11" s="12" t="s">
        <v>10</v>
      </c>
      <c r="V11" s="12"/>
      <c r="W11" s="12"/>
      <c r="X11" s="12"/>
      <c r="Y11" s="12"/>
      <c r="Z11" s="12"/>
      <c r="AA11" s="12"/>
      <c r="AB11" s="12"/>
      <c r="AC11" s="12"/>
    </row>
    <row r="12" spans="1:29" ht="18" x14ac:dyDescent="0.4">
      <c r="A12" s="5">
        <v>1</v>
      </c>
      <c r="B12" s="5" t="s">
        <v>7</v>
      </c>
      <c r="C12" s="6">
        <v>72</v>
      </c>
      <c r="D12" s="7">
        <v>8.4000000000000005E-2</v>
      </c>
      <c r="E12" s="8">
        <f t="shared" si="0"/>
        <v>989.60593494104239</v>
      </c>
      <c r="F12" s="9">
        <v>0.4</v>
      </c>
      <c r="G12" s="10">
        <f t="shared" si="1"/>
        <v>29458</v>
      </c>
      <c r="H12" s="11"/>
      <c r="I12" s="12"/>
      <c r="J12" s="12"/>
      <c r="K12" s="12"/>
      <c r="L12" s="12"/>
      <c r="M12" s="12"/>
      <c r="N12" s="12"/>
      <c r="O12" s="12"/>
      <c r="P12" s="12" t="s">
        <v>11</v>
      </c>
      <c r="Q12" s="12">
        <v>2</v>
      </c>
      <c r="R12" s="12">
        <v>3</v>
      </c>
      <c r="S12" s="12">
        <v>4</v>
      </c>
      <c r="T12" s="12"/>
      <c r="U12" s="12" t="s">
        <v>11</v>
      </c>
      <c r="V12" s="12">
        <v>2</v>
      </c>
      <c r="W12" s="12">
        <v>3</v>
      </c>
      <c r="X12" s="12">
        <v>4</v>
      </c>
      <c r="Y12" s="12"/>
      <c r="Z12" s="12"/>
      <c r="AA12" s="12"/>
      <c r="AB12" s="12"/>
      <c r="AC12" s="12"/>
    </row>
    <row r="13" spans="1:29" ht="18" x14ac:dyDescent="0.4">
      <c r="A13" s="5">
        <v>1</v>
      </c>
      <c r="B13" s="5" t="s">
        <v>7</v>
      </c>
      <c r="C13" s="6">
        <v>84</v>
      </c>
      <c r="D13" s="7">
        <v>8.3600000000000008E-2</v>
      </c>
      <c r="E13" s="8">
        <f t="shared" si="0"/>
        <v>934.2860329613095</v>
      </c>
      <c r="F13" s="9">
        <v>0.35</v>
      </c>
      <c r="G13" s="10">
        <f t="shared" si="1"/>
        <v>25775.75</v>
      </c>
      <c r="H13" s="11"/>
      <c r="I13" s="12"/>
      <c r="J13" s="12" t="s">
        <v>12</v>
      </c>
      <c r="K13" s="13">
        <v>8.0500000000000002E-2</v>
      </c>
      <c r="L13" s="13"/>
      <c r="M13" s="13"/>
      <c r="N13" s="13"/>
      <c r="O13" s="12"/>
      <c r="P13" s="13">
        <f t="shared" ref="P13:S15" si="4">SUM($K13,N37)</f>
        <v>9.0499999999999997E-2</v>
      </c>
      <c r="Q13" s="13">
        <f t="shared" si="4"/>
        <v>0.10050000000000001</v>
      </c>
      <c r="R13" s="13">
        <f t="shared" si="4"/>
        <v>0.1105</v>
      </c>
      <c r="S13" s="13">
        <f t="shared" si="4"/>
        <v>0.1205</v>
      </c>
      <c r="T13" s="12"/>
      <c r="U13" s="14">
        <v>9.0499999999999997E-2</v>
      </c>
      <c r="V13" s="14">
        <v>0.10050000000000001</v>
      </c>
      <c r="W13" s="14">
        <v>0.1105</v>
      </c>
      <c r="X13" s="14">
        <v>0.1205</v>
      </c>
      <c r="Y13" s="12"/>
      <c r="Z13" s="12"/>
      <c r="AA13" s="12"/>
      <c r="AB13" s="12"/>
      <c r="AC13" s="12"/>
    </row>
    <row r="14" spans="1:29" ht="18" x14ac:dyDescent="0.4">
      <c r="A14" s="5">
        <v>2</v>
      </c>
      <c r="B14" s="5" t="s">
        <v>7</v>
      </c>
      <c r="C14" s="6">
        <v>24</v>
      </c>
      <c r="D14" s="7">
        <v>0.10300000000000001</v>
      </c>
      <c r="E14" s="8">
        <f t="shared" si="0"/>
        <v>1742.6914974180074</v>
      </c>
      <c r="F14" s="9">
        <v>0.6</v>
      </c>
      <c r="G14" s="10">
        <f t="shared" si="1"/>
        <v>44187</v>
      </c>
      <c r="H14" s="11"/>
      <c r="I14" s="12"/>
      <c r="J14" s="12" t="s">
        <v>13</v>
      </c>
      <c r="K14" s="13">
        <v>7.9500000000000001E-2</v>
      </c>
      <c r="L14" s="13"/>
      <c r="M14" s="13"/>
      <c r="N14" s="13"/>
      <c r="O14" s="12"/>
      <c r="P14" s="13">
        <f t="shared" si="4"/>
        <v>8.6199999999999999E-2</v>
      </c>
      <c r="Q14" s="13">
        <f t="shared" si="4"/>
        <v>9.2899999999999996E-2</v>
      </c>
      <c r="R14" s="13">
        <f t="shared" si="4"/>
        <v>9.9599999999999994E-2</v>
      </c>
      <c r="S14" s="13">
        <f t="shared" si="4"/>
        <v>0.10630000000000001</v>
      </c>
      <c r="T14" s="12"/>
      <c r="U14" s="14">
        <v>8.6199999999999999E-2</v>
      </c>
      <c r="V14" s="14">
        <v>9.2899999999999996E-2</v>
      </c>
      <c r="W14" s="14">
        <v>9.9599999999999994E-2</v>
      </c>
      <c r="X14" s="14">
        <v>0.10630000000000001</v>
      </c>
      <c r="Y14" s="12"/>
      <c r="Z14" s="12"/>
      <c r="AA14" s="12"/>
      <c r="AB14" s="12"/>
      <c r="AC14" s="12"/>
    </row>
    <row r="15" spans="1:29" ht="18" x14ac:dyDescent="0.4">
      <c r="A15" s="5">
        <v>2</v>
      </c>
      <c r="B15" s="5" t="s">
        <v>7</v>
      </c>
      <c r="C15" s="6">
        <v>36</v>
      </c>
      <c r="D15" s="7">
        <v>9.5399999999999999E-2</v>
      </c>
      <c r="E15" s="8">
        <f t="shared" si="0"/>
        <v>1384.2124964168979</v>
      </c>
      <c r="F15" s="9">
        <v>0.55000000000000004</v>
      </c>
      <c r="G15" s="10">
        <f t="shared" si="1"/>
        <v>40504.75</v>
      </c>
      <c r="H15" s="11"/>
      <c r="I15" s="12"/>
      <c r="J15" s="12" t="s">
        <v>14</v>
      </c>
      <c r="K15" s="13">
        <v>7.5999999999999998E-2</v>
      </c>
      <c r="L15" s="13"/>
      <c r="M15" s="13"/>
      <c r="N15" s="13"/>
      <c r="O15" s="12"/>
      <c r="P15" s="13">
        <f t="shared" si="4"/>
        <v>8.1100000000000005E-2</v>
      </c>
      <c r="Q15" s="13">
        <f t="shared" si="4"/>
        <v>8.6199999999999999E-2</v>
      </c>
      <c r="R15" s="13">
        <f t="shared" si="4"/>
        <v>9.1299999999999992E-2</v>
      </c>
      <c r="S15" s="13">
        <f t="shared" si="4"/>
        <v>9.64E-2</v>
      </c>
      <c r="T15" s="12"/>
      <c r="U15" s="14">
        <v>8.1100000000000005E-2</v>
      </c>
      <c r="V15" s="14">
        <v>8.6199999999999999E-2</v>
      </c>
      <c r="W15" s="14">
        <v>9.1299999999999992E-2</v>
      </c>
      <c r="X15" s="14">
        <v>9.64E-2</v>
      </c>
      <c r="Y15" s="12"/>
      <c r="Z15" s="12"/>
      <c r="AA15" s="12"/>
      <c r="AB15" s="12"/>
      <c r="AC15" s="12"/>
    </row>
    <row r="16" spans="1:29" ht="18" x14ac:dyDescent="0.4">
      <c r="A16" s="5">
        <v>2</v>
      </c>
      <c r="B16" s="5" t="s">
        <v>7</v>
      </c>
      <c r="C16" s="6">
        <v>48</v>
      </c>
      <c r="D16" s="7">
        <v>9.1300000000000006E-2</v>
      </c>
      <c r="E16" s="8">
        <f t="shared" si="0"/>
        <v>1198.7620093421738</v>
      </c>
      <c r="F16" s="9">
        <v>0.5</v>
      </c>
      <c r="G16" s="10">
        <f t="shared" si="1"/>
        <v>36822.5</v>
      </c>
      <c r="H16" s="11"/>
      <c r="I16" s="12"/>
      <c r="J16" s="12" t="s">
        <v>15</v>
      </c>
      <c r="K16" s="13">
        <v>8.1100000000000005E-2</v>
      </c>
      <c r="L16" s="13"/>
      <c r="M16" s="13"/>
      <c r="N16" s="13"/>
      <c r="O16" s="12"/>
      <c r="P16" s="15">
        <f>SUM($K16,N39)</f>
        <v>8.6199999999999999E-2</v>
      </c>
      <c r="Q16" s="15">
        <f>SUM($K16,O39)</f>
        <v>9.1300000000000006E-2</v>
      </c>
      <c r="R16" s="15">
        <f>SUM($K16,P39)</f>
        <v>9.6400000000000013E-2</v>
      </c>
      <c r="S16" s="15">
        <f>SUM($K16,Q39)</f>
        <v>0.10150000000000001</v>
      </c>
      <c r="T16" s="12"/>
      <c r="U16" s="14">
        <v>8.6199999999999999E-2</v>
      </c>
      <c r="V16" s="14">
        <v>9.1300000000000006E-2</v>
      </c>
      <c r="W16" s="14">
        <v>9.6400000000000013E-2</v>
      </c>
      <c r="X16" s="14">
        <v>0.10150000000000001</v>
      </c>
      <c r="Y16" s="12"/>
      <c r="Z16" s="12"/>
      <c r="AA16" s="12"/>
      <c r="AB16" s="12"/>
      <c r="AC16" s="12"/>
    </row>
    <row r="17" spans="1:29" ht="18" x14ac:dyDescent="0.4">
      <c r="A17" s="5">
        <v>2</v>
      </c>
      <c r="B17" s="5" t="s">
        <v>7</v>
      </c>
      <c r="C17" s="6">
        <v>60</v>
      </c>
      <c r="D17" s="7">
        <v>8.8900000000000007E-2</v>
      </c>
      <c r="E17" s="8">
        <f t="shared" si="0"/>
        <v>1084.165251119889</v>
      </c>
      <c r="F17" s="9">
        <v>0.45</v>
      </c>
      <c r="G17" s="10">
        <f t="shared" si="1"/>
        <v>33140.25</v>
      </c>
      <c r="H17" s="11"/>
      <c r="I17" s="12"/>
      <c r="J17" s="12" t="s">
        <v>16</v>
      </c>
      <c r="K17" s="13">
        <v>8.1100000000000005E-2</v>
      </c>
      <c r="L17" s="13"/>
      <c r="M17" s="13"/>
      <c r="N17" s="13"/>
      <c r="O17" s="12"/>
      <c r="P17" s="15">
        <f>SUM($K17,N$40)</f>
        <v>8.5300000000000001E-2</v>
      </c>
      <c r="Q17" s="15">
        <f t="shared" ref="Q17:S17" si="5">SUM($K17,O$40)</f>
        <v>8.950000000000001E-2</v>
      </c>
      <c r="R17" s="15">
        <f t="shared" si="5"/>
        <v>9.3700000000000006E-2</v>
      </c>
      <c r="S17" s="15">
        <f t="shared" si="5"/>
        <v>9.7900000000000001E-2</v>
      </c>
      <c r="T17" s="12"/>
      <c r="U17" s="14">
        <v>8.5300000000000001E-2</v>
      </c>
      <c r="V17" s="14">
        <v>8.950000000000001E-2</v>
      </c>
      <c r="W17" s="14">
        <v>9.3700000000000006E-2</v>
      </c>
      <c r="X17" s="14">
        <v>9.7900000000000001E-2</v>
      </c>
      <c r="Y17" s="12"/>
      <c r="Z17" s="12"/>
      <c r="AA17" s="12"/>
      <c r="AB17" s="12"/>
      <c r="AC17" s="12"/>
    </row>
    <row r="18" spans="1:29" ht="18" x14ac:dyDescent="0.4">
      <c r="A18" s="5">
        <v>2</v>
      </c>
      <c r="B18" s="5" t="s">
        <v>7</v>
      </c>
      <c r="C18" s="6">
        <v>72</v>
      </c>
      <c r="D18" s="7">
        <v>8.7500000000000008E-2</v>
      </c>
      <c r="E18" s="8">
        <f t="shared" si="0"/>
        <v>1005.8207888832997</v>
      </c>
      <c r="F18" s="9">
        <v>0.4</v>
      </c>
      <c r="G18" s="10">
        <f t="shared" si="1"/>
        <v>29458</v>
      </c>
      <c r="H18" s="11"/>
      <c r="I18" s="12"/>
      <c r="J18" s="12" t="s">
        <v>17</v>
      </c>
      <c r="K18" s="13">
        <v>8.1100000000000005E-2</v>
      </c>
      <c r="L18" s="13"/>
      <c r="M18" s="13"/>
      <c r="N18" s="13"/>
      <c r="O18" s="12"/>
      <c r="P18" s="15">
        <f>SUM($K18,N$41)</f>
        <v>8.4600000000000009E-2</v>
      </c>
      <c r="Q18" s="15">
        <f t="shared" ref="Q18:S18" si="6">SUM($K18,O$41)</f>
        <v>8.8100000000000012E-2</v>
      </c>
      <c r="R18" s="15">
        <f t="shared" si="6"/>
        <v>9.1600000000000001E-2</v>
      </c>
      <c r="S18" s="15">
        <f t="shared" si="6"/>
        <v>9.5100000000000004E-2</v>
      </c>
      <c r="T18" s="12"/>
      <c r="U18" s="14">
        <v>8.4600000000000009E-2</v>
      </c>
      <c r="V18" s="14">
        <v>8.8100000000000012E-2</v>
      </c>
      <c r="W18" s="14">
        <v>9.1600000000000001E-2</v>
      </c>
      <c r="X18" s="14">
        <v>9.5100000000000004E-2</v>
      </c>
      <c r="Y18" s="12"/>
      <c r="Z18" s="12"/>
      <c r="AA18" s="12"/>
      <c r="AB18" s="12"/>
      <c r="AC18" s="12"/>
    </row>
    <row r="19" spans="1:29" ht="18" x14ac:dyDescent="0.4">
      <c r="A19" s="5">
        <v>2</v>
      </c>
      <c r="B19" s="5" t="s">
        <v>7</v>
      </c>
      <c r="C19" s="6">
        <v>84</v>
      </c>
      <c r="D19" s="7">
        <v>8.6699999999999999E-2</v>
      </c>
      <c r="E19" s="8">
        <f t="shared" si="0"/>
        <v>948.40911631298127</v>
      </c>
      <c r="F19" s="9">
        <v>0.35</v>
      </c>
      <c r="G19" s="10">
        <f t="shared" si="1"/>
        <v>25775.75</v>
      </c>
      <c r="H19" s="11"/>
      <c r="I19" s="12"/>
      <c r="J19" s="16"/>
      <c r="K19" s="12"/>
      <c r="L19" s="12"/>
      <c r="M19" s="12"/>
      <c r="N19" s="12"/>
      <c r="O19" s="12"/>
      <c r="P19" s="17" t="s">
        <v>19</v>
      </c>
      <c r="Q19" s="17"/>
      <c r="R19" s="17"/>
      <c r="S19" s="17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ht="18" x14ac:dyDescent="0.4">
      <c r="A20" s="5">
        <v>3</v>
      </c>
      <c r="B20" s="5" t="s">
        <v>7</v>
      </c>
      <c r="C20" s="6">
        <v>24</v>
      </c>
      <c r="D20" s="7">
        <v>0.113</v>
      </c>
      <c r="E20" s="8">
        <f t="shared" si="0"/>
        <v>1793.1745295332273</v>
      </c>
      <c r="F20" s="9">
        <v>0.6</v>
      </c>
      <c r="G20" s="10">
        <f t="shared" si="1"/>
        <v>44187</v>
      </c>
      <c r="H20" s="11"/>
      <c r="I20" s="12"/>
      <c r="J20" s="16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 ht="18" x14ac:dyDescent="0.4">
      <c r="A21" s="5">
        <v>3</v>
      </c>
      <c r="B21" s="5" t="s">
        <v>7</v>
      </c>
      <c r="C21" s="6">
        <v>36</v>
      </c>
      <c r="D21" s="7">
        <v>0.1021</v>
      </c>
      <c r="E21" s="8">
        <f t="shared" si="0"/>
        <v>1417.2409655656631</v>
      </c>
      <c r="F21" s="9">
        <v>0.55000000000000004</v>
      </c>
      <c r="G21" s="10">
        <f t="shared" si="1"/>
        <v>40504.75</v>
      </c>
      <c r="H21" s="11"/>
      <c r="I21" s="12"/>
      <c r="J21" s="16"/>
      <c r="K21" s="12"/>
      <c r="L21" s="12"/>
      <c r="M21" s="12"/>
      <c r="N21" s="12"/>
      <c r="O21" s="12"/>
      <c r="P21" s="12"/>
      <c r="Q21" s="16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 ht="18" x14ac:dyDescent="0.4">
      <c r="A22" s="5">
        <v>3</v>
      </c>
      <c r="B22" s="5" t="s">
        <v>7</v>
      </c>
      <c r="C22" s="6">
        <v>48</v>
      </c>
      <c r="D22" s="7">
        <v>9.6400000000000013E-2</v>
      </c>
      <c r="E22" s="8">
        <f t="shared" si="0"/>
        <v>1223.3678692864696</v>
      </c>
      <c r="F22" s="9">
        <v>0.5</v>
      </c>
      <c r="G22" s="10">
        <f t="shared" si="1"/>
        <v>36822.5</v>
      </c>
      <c r="H22" s="11"/>
      <c r="I22" s="12"/>
      <c r="J22" s="12"/>
      <c r="K22" s="12" t="s">
        <v>20</v>
      </c>
      <c r="L22" s="12" t="s">
        <v>21</v>
      </c>
      <c r="M22" s="12" t="s">
        <v>22</v>
      </c>
      <c r="N22" s="12"/>
      <c r="O22" s="12"/>
      <c r="P22" s="12"/>
      <c r="Q22" s="16" t="s">
        <v>23</v>
      </c>
      <c r="R22" s="12"/>
      <c r="S22" s="12"/>
      <c r="T22" s="12"/>
      <c r="U22" s="12"/>
      <c r="V22" s="12"/>
      <c r="W22" s="12"/>
      <c r="X22" s="13">
        <v>8.8900000000000007E-2</v>
      </c>
      <c r="Y22" s="12">
        <v>2.6586970000000001E-2</v>
      </c>
      <c r="Z22" s="13">
        <f>SUM(X22*Y22)+X22</f>
        <v>9.126358163300001E-2</v>
      </c>
      <c r="AA22" s="13"/>
      <c r="AB22" s="12"/>
      <c r="AC22" s="12"/>
    </row>
    <row r="23" spans="1:29" ht="18" x14ac:dyDescent="0.4">
      <c r="A23" s="5">
        <v>3</v>
      </c>
      <c r="B23" s="5" t="s">
        <v>7</v>
      </c>
      <c r="C23" s="6">
        <v>60</v>
      </c>
      <c r="D23" s="7">
        <v>9.3100000000000002E-2</v>
      </c>
      <c r="E23" s="8">
        <f t="shared" si="0"/>
        <v>1104.0322358802191</v>
      </c>
      <c r="F23" s="9">
        <v>0.45</v>
      </c>
      <c r="G23" s="10">
        <f t="shared" si="1"/>
        <v>33140.25</v>
      </c>
      <c r="H23" s="11"/>
      <c r="I23" s="12"/>
      <c r="J23" s="12" t="s">
        <v>24</v>
      </c>
      <c r="K23" s="12" t="s">
        <v>25</v>
      </c>
      <c r="L23" s="12" t="s">
        <v>26</v>
      </c>
      <c r="M23" s="14">
        <v>8.0500000000000002E-2</v>
      </c>
      <c r="N23" s="12"/>
      <c r="O23" s="12"/>
      <c r="P23" s="12"/>
      <c r="Q23" s="16"/>
      <c r="R23" s="12"/>
      <c r="S23" s="12"/>
      <c r="T23" s="12"/>
      <c r="U23" s="12"/>
      <c r="V23" s="12"/>
      <c r="W23" s="12"/>
      <c r="X23" s="13">
        <v>8.7499999999999994E-2</v>
      </c>
      <c r="Y23" s="12">
        <v>1.574803E-2</v>
      </c>
      <c r="Z23" s="13">
        <f>SUM(X23*Y23)+X23</f>
        <v>8.8877952624999992E-2</v>
      </c>
      <c r="AA23" s="12"/>
      <c r="AB23" s="12"/>
      <c r="AC23" s="12"/>
    </row>
    <row r="24" spans="1:29" ht="18" x14ac:dyDescent="0.4">
      <c r="A24" s="5">
        <v>3</v>
      </c>
      <c r="B24" s="5" t="s">
        <v>7</v>
      </c>
      <c r="C24" s="6">
        <v>72</v>
      </c>
      <c r="D24" s="7">
        <v>9.0999999999999998E-2</v>
      </c>
      <c r="E24" s="8">
        <f t="shared" si="0"/>
        <v>1022.0790516228196</v>
      </c>
      <c r="F24" s="9">
        <v>0.4</v>
      </c>
      <c r="G24" s="10">
        <f t="shared" si="1"/>
        <v>29458</v>
      </c>
      <c r="H24" s="11"/>
      <c r="I24" s="12"/>
      <c r="J24" s="12" t="s">
        <v>27</v>
      </c>
      <c r="K24" s="12" t="s">
        <v>28</v>
      </c>
      <c r="L24" s="12" t="s">
        <v>29</v>
      </c>
      <c r="M24" s="14">
        <v>7.9500000000000001E-2</v>
      </c>
      <c r="N24" s="12"/>
      <c r="O24" s="12"/>
      <c r="P24" s="12"/>
      <c r="Q24" s="16" t="s">
        <v>30</v>
      </c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 ht="18" x14ac:dyDescent="0.4">
      <c r="A25" s="5">
        <v>3</v>
      </c>
      <c r="B25" s="5" t="s">
        <v>7</v>
      </c>
      <c r="C25" s="6">
        <v>84</v>
      </c>
      <c r="D25" s="7">
        <v>8.9800000000000005E-2</v>
      </c>
      <c r="E25" s="8">
        <f t="shared" si="0"/>
        <v>962.57485421805961</v>
      </c>
      <c r="F25" s="9">
        <v>0.35</v>
      </c>
      <c r="G25" s="10">
        <f t="shared" si="1"/>
        <v>25775.75</v>
      </c>
      <c r="H25" s="11"/>
      <c r="I25" s="12"/>
      <c r="J25" s="12" t="s">
        <v>31</v>
      </c>
      <c r="K25" s="12" t="s">
        <v>32</v>
      </c>
      <c r="L25" s="12" t="s">
        <v>33</v>
      </c>
      <c r="M25" s="14">
        <v>7.5999999999999998E-2</v>
      </c>
      <c r="N25" s="12"/>
      <c r="O25" s="12"/>
      <c r="P25" s="12"/>
      <c r="Q25" s="16" t="s">
        <v>34</v>
      </c>
      <c r="R25" s="12"/>
      <c r="S25" s="13">
        <v>8.9999999999999993E-3</v>
      </c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 ht="18" x14ac:dyDescent="0.4">
      <c r="A26" s="5">
        <v>4</v>
      </c>
      <c r="B26" s="5" t="s">
        <v>7</v>
      </c>
      <c r="C26" s="6">
        <v>24</v>
      </c>
      <c r="D26" s="7">
        <v>0.123</v>
      </c>
      <c r="E26" s="8">
        <f t="shared" si="0"/>
        <v>1843.7377003545068</v>
      </c>
      <c r="F26" s="9">
        <v>0.6</v>
      </c>
      <c r="G26" s="10">
        <f t="shared" si="1"/>
        <v>44187</v>
      </c>
      <c r="H26" s="11"/>
      <c r="I26" s="12"/>
      <c r="J26" s="12" t="s">
        <v>35</v>
      </c>
      <c r="K26" s="12" t="s">
        <v>36</v>
      </c>
      <c r="L26" s="12" t="s">
        <v>37</v>
      </c>
      <c r="M26" s="14">
        <v>7.2499999999999995E-2</v>
      </c>
      <c r="N26" s="12"/>
      <c r="O26" s="12"/>
      <c r="P26" s="12"/>
      <c r="Q26" s="16" t="s">
        <v>38</v>
      </c>
      <c r="R26" s="12"/>
      <c r="S26" s="13">
        <v>1.0999999999999999E-2</v>
      </c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 ht="18" x14ac:dyDescent="0.4">
      <c r="A27" s="5">
        <v>4</v>
      </c>
      <c r="B27" s="5" t="s">
        <v>7</v>
      </c>
      <c r="C27" s="6">
        <v>36</v>
      </c>
      <c r="D27" s="7">
        <v>0.10880000000000001</v>
      </c>
      <c r="E27" s="8">
        <f t="shared" si="0"/>
        <v>1450.3300247520754</v>
      </c>
      <c r="F27" s="9">
        <v>0.55000000000000004</v>
      </c>
      <c r="G27" s="10">
        <f t="shared" si="1"/>
        <v>40504.75</v>
      </c>
      <c r="H27" s="11"/>
      <c r="I27" s="12"/>
      <c r="J27" s="12" t="s">
        <v>39</v>
      </c>
      <c r="K27" s="12" t="s">
        <v>36</v>
      </c>
      <c r="L27" s="12" t="s">
        <v>37</v>
      </c>
      <c r="M27" s="14">
        <v>7.0499999999999993E-2</v>
      </c>
      <c r="N27" s="12"/>
      <c r="O27" s="12"/>
      <c r="P27" s="12"/>
      <c r="Q27" s="16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 ht="18" x14ac:dyDescent="0.4">
      <c r="A28" s="5">
        <v>4</v>
      </c>
      <c r="B28" s="5" t="s">
        <v>7</v>
      </c>
      <c r="C28" s="6">
        <v>48</v>
      </c>
      <c r="D28" s="7">
        <v>0.10150000000000001</v>
      </c>
      <c r="E28" s="8">
        <f t="shared" si="0"/>
        <v>1248.0255115222501</v>
      </c>
      <c r="F28" s="9">
        <v>0.5</v>
      </c>
      <c r="G28" s="10">
        <f t="shared" si="1"/>
        <v>36822.5</v>
      </c>
      <c r="H28" s="11"/>
      <c r="I28" s="12"/>
      <c r="J28" s="12" t="s">
        <v>40</v>
      </c>
      <c r="K28" s="12" t="s">
        <v>36</v>
      </c>
      <c r="L28" s="12" t="s">
        <v>37</v>
      </c>
      <c r="M28" s="14">
        <v>7.0499999999999993E-2</v>
      </c>
      <c r="N28" s="12"/>
      <c r="O28" s="12"/>
      <c r="P28" s="16" t="s">
        <v>41</v>
      </c>
      <c r="Q28" s="12"/>
      <c r="R28" s="12"/>
      <c r="S28" s="13">
        <v>2.5000000000000001E-3</v>
      </c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 ht="18" x14ac:dyDescent="0.4">
      <c r="A29" s="5">
        <v>4</v>
      </c>
      <c r="B29" s="5" t="s">
        <v>7</v>
      </c>
      <c r="C29" s="6">
        <v>60</v>
      </c>
      <c r="D29" s="7">
        <v>9.7299999999999998E-2</v>
      </c>
      <c r="E29" s="8">
        <f t="shared" si="0"/>
        <v>1123.9472122592038</v>
      </c>
      <c r="F29" s="9">
        <v>0.45</v>
      </c>
      <c r="G29" s="10">
        <f t="shared" si="1"/>
        <v>33140.25</v>
      </c>
      <c r="H29" s="11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 ht="18" x14ac:dyDescent="0.4">
      <c r="A30" s="5">
        <v>4</v>
      </c>
      <c r="B30" s="5" t="s">
        <v>7</v>
      </c>
      <c r="C30" s="6">
        <v>72</v>
      </c>
      <c r="D30" s="7">
        <v>9.4500000000000001E-2</v>
      </c>
      <c r="E30" s="8">
        <f t="shared" si="0"/>
        <v>1038.3806084360313</v>
      </c>
      <c r="F30" s="9">
        <v>0.4</v>
      </c>
      <c r="G30" s="10">
        <f t="shared" si="1"/>
        <v>29458</v>
      </c>
      <c r="H30" s="11"/>
      <c r="I30" s="12"/>
      <c r="J30" s="12">
        <f>1/100</f>
        <v>0.01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 ht="18" x14ac:dyDescent="0.4">
      <c r="A31" s="5">
        <v>4</v>
      </c>
      <c r="B31" s="5" t="s">
        <v>7</v>
      </c>
      <c r="C31" s="6">
        <v>84</v>
      </c>
      <c r="D31" s="7">
        <v>9.2899999999999996E-2</v>
      </c>
      <c r="E31" s="8">
        <f t="shared" si="0"/>
        <v>976.78311817001429</v>
      </c>
      <c r="F31" s="9">
        <v>0.35</v>
      </c>
      <c r="G31" s="10">
        <f t="shared" si="1"/>
        <v>25775.75</v>
      </c>
      <c r="H31" s="11"/>
      <c r="I31" s="12"/>
      <c r="J31" s="18">
        <f>0.01*10000</f>
        <v>100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 ht="18" x14ac:dyDescent="0.4">
      <c r="A32" s="5">
        <v>0</v>
      </c>
      <c r="B32" s="5" t="s">
        <v>18</v>
      </c>
      <c r="C32" s="6">
        <v>24</v>
      </c>
      <c r="D32" s="7">
        <v>9.0499999999999997E-2</v>
      </c>
      <c r="E32" s="8">
        <f t="shared" si="0"/>
        <v>1679.7006572197906</v>
      </c>
      <c r="F32" s="9">
        <v>0.6</v>
      </c>
      <c r="G32" s="10">
        <f t="shared" si="1"/>
        <v>44187</v>
      </c>
      <c r="H32" s="11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ht="18" x14ac:dyDescent="0.4">
      <c r="A33" s="5">
        <v>0</v>
      </c>
      <c r="B33" s="5" t="s">
        <v>18</v>
      </c>
      <c r="C33" s="6">
        <v>36</v>
      </c>
      <c r="D33" s="7">
        <v>8.6199999999999999E-2</v>
      </c>
      <c r="E33" s="8">
        <f t="shared" si="0"/>
        <v>1338.9589139262678</v>
      </c>
      <c r="F33" s="9">
        <v>0.55000000000000004</v>
      </c>
      <c r="G33" s="10">
        <f t="shared" si="1"/>
        <v>40504.75</v>
      </c>
      <c r="H33" s="11"/>
      <c r="I33" s="19" t="s">
        <v>42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ht="18" x14ac:dyDescent="0.4">
      <c r="A34" s="5">
        <v>0</v>
      </c>
      <c r="B34" s="5" t="s">
        <v>18</v>
      </c>
      <c r="C34" s="6">
        <v>48</v>
      </c>
      <c r="D34" s="7">
        <v>8.1100000000000005E-2</v>
      </c>
      <c r="E34" s="8">
        <f t="shared" ref="E34:E65" si="7">PMT(D34/12,C34,-dealTotal,G34)</f>
        <v>1149.7060765599892</v>
      </c>
      <c r="F34" s="9">
        <v>0.5</v>
      </c>
      <c r="G34" s="10">
        <f t="shared" ref="G34:G65" si="8">SUM(dealTotal*F34)</f>
        <v>36822.5</v>
      </c>
      <c r="H34" s="11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ht="18" x14ac:dyDescent="0.4">
      <c r="A35" s="5">
        <v>0</v>
      </c>
      <c r="B35" s="5" t="s">
        <v>18</v>
      </c>
      <c r="C35" s="6">
        <v>60</v>
      </c>
      <c r="D35" s="7">
        <v>8.6199999999999999E-2</v>
      </c>
      <c r="E35" s="8">
        <f t="shared" ref="E35:E46" si="9">PMT(D35/12,C35,-84995,G35)</f>
        <v>1293.4524285308762</v>
      </c>
      <c r="F35" s="9">
        <v>0.4</v>
      </c>
      <c r="G35" s="10">
        <f t="shared" ref="G35:G46" si="10">SUM(84995*F35)</f>
        <v>33998</v>
      </c>
      <c r="H35" s="11"/>
      <c r="I35" s="12" t="s">
        <v>20</v>
      </c>
      <c r="J35" s="12"/>
      <c r="K35" s="12"/>
      <c r="L35" s="12"/>
      <c r="M35" s="12" t="s">
        <v>43</v>
      </c>
      <c r="N35" s="12">
        <v>1</v>
      </c>
      <c r="O35" s="12">
        <v>2</v>
      </c>
      <c r="P35" s="12">
        <v>3</v>
      </c>
      <c r="Q35" s="12">
        <v>4</v>
      </c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ht="18" x14ac:dyDescent="0.4">
      <c r="A36" s="5">
        <v>0</v>
      </c>
      <c r="B36" s="5" t="s">
        <v>18</v>
      </c>
      <c r="C36" s="6">
        <v>72</v>
      </c>
      <c r="D36" s="7">
        <v>8.5300000000000001E-2</v>
      </c>
      <c r="E36" s="8">
        <f t="shared" si="9"/>
        <v>1194.4745846286207</v>
      </c>
      <c r="F36" s="9">
        <v>0.35</v>
      </c>
      <c r="G36" s="10">
        <f t="shared" si="10"/>
        <v>29748.249999999996</v>
      </c>
      <c r="H36" s="11"/>
      <c r="I36" s="30" t="s">
        <v>44</v>
      </c>
      <c r="J36" s="30"/>
      <c r="K36" s="30"/>
      <c r="L36" s="30"/>
      <c r="M36" s="30"/>
      <c r="N36" s="30"/>
      <c r="O36" s="30"/>
      <c r="P36" s="30"/>
      <c r="Q36" s="30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ht="18" x14ac:dyDescent="0.4">
      <c r="A37" s="5">
        <v>0</v>
      </c>
      <c r="B37" s="5" t="s">
        <v>18</v>
      </c>
      <c r="C37" s="6">
        <v>84</v>
      </c>
      <c r="D37" s="7">
        <v>8.4600000000000009E-2</v>
      </c>
      <c r="E37" s="8">
        <f t="shared" si="9"/>
        <v>1120.7835686544524</v>
      </c>
      <c r="F37" s="9">
        <v>0.3</v>
      </c>
      <c r="G37" s="10">
        <f t="shared" si="10"/>
        <v>25498.5</v>
      </c>
      <c r="H37" s="11"/>
      <c r="I37" s="20" t="s">
        <v>45</v>
      </c>
      <c r="J37" s="12"/>
      <c r="K37" s="12"/>
      <c r="L37" s="21">
        <v>0.01</v>
      </c>
      <c r="M37" s="12"/>
      <c r="N37" s="21">
        <v>0.01</v>
      </c>
      <c r="O37" s="21">
        <v>0.02</v>
      </c>
      <c r="P37" s="21">
        <v>0.03</v>
      </c>
      <c r="Q37" s="21">
        <v>0.04</v>
      </c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ht="18" x14ac:dyDescent="0.4">
      <c r="A38" s="5">
        <v>1</v>
      </c>
      <c r="B38" s="5" t="s">
        <v>18</v>
      </c>
      <c r="C38" s="6">
        <v>24</v>
      </c>
      <c r="D38" s="7">
        <v>9.0499999999999997E-2</v>
      </c>
      <c r="E38" s="8">
        <f t="shared" si="9"/>
        <v>1938.5723044388092</v>
      </c>
      <c r="F38" s="9">
        <v>0.6</v>
      </c>
      <c r="G38" s="10">
        <f t="shared" si="10"/>
        <v>50997</v>
      </c>
      <c r="H38" s="11"/>
      <c r="I38" s="20" t="s">
        <v>46</v>
      </c>
      <c r="J38" s="12"/>
      <c r="K38" s="12"/>
      <c r="L38" s="13">
        <v>6.7000000000000002E-3</v>
      </c>
      <c r="M38" s="12"/>
      <c r="N38" s="13">
        <f>$L$38*N$35</f>
        <v>6.7000000000000002E-3</v>
      </c>
      <c r="O38" s="13">
        <f t="shared" ref="O38:Q38" si="11">$L$38*O$35</f>
        <v>1.34E-2</v>
      </c>
      <c r="P38" s="13">
        <f t="shared" si="11"/>
        <v>2.01E-2</v>
      </c>
      <c r="Q38" s="13">
        <f t="shared" si="11"/>
        <v>2.6800000000000001E-2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ht="18" x14ac:dyDescent="0.4">
      <c r="A39" s="5">
        <v>1</v>
      </c>
      <c r="B39" s="5" t="s">
        <v>18</v>
      </c>
      <c r="C39" s="6">
        <v>36</v>
      </c>
      <c r="D39" s="7">
        <v>8.6199999999999999E-2</v>
      </c>
      <c r="E39" s="8">
        <f t="shared" si="9"/>
        <v>1545.3162181976115</v>
      </c>
      <c r="F39" s="9">
        <v>0.55000000000000004</v>
      </c>
      <c r="G39" s="10">
        <f t="shared" si="10"/>
        <v>46747.250000000007</v>
      </c>
      <c r="H39" s="11"/>
      <c r="I39" s="20" t="s">
        <v>47</v>
      </c>
      <c r="J39" s="12"/>
      <c r="K39" s="12"/>
      <c r="L39" s="13">
        <v>5.1000000000000004E-3</v>
      </c>
      <c r="M39" s="12"/>
      <c r="N39" s="13">
        <f>$L$39*N$35</f>
        <v>5.1000000000000004E-3</v>
      </c>
      <c r="O39" s="13">
        <f t="shared" ref="O39:Q39" si="12">$L$39*O$35</f>
        <v>1.0200000000000001E-2</v>
      </c>
      <c r="P39" s="13">
        <f t="shared" si="12"/>
        <v>1.5300000000000001E-2</v>
      </c>
      <c r="Q39" s="13">
        <f t="shared" si="12"/>
        <v>2.0400000000000001E-2</v>
      </c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 ht="18" x14ac:dyDescent="0.4">
      <c r="A40" s="5">
        <v>1</v>
      </c>
      <c r="B40" s="5" t="s">
        <v>18</v>
      </c>
      <c r="C40" s="6">
        <v>48</v>
      </c>
      <c r="D40" s="7">
        <v>8.1100000000000005E-2</v>
      </c>
      <c r="E40" s="8">
        <f t="shared" si="9"/>
        <v>1326.8961637207724</v>
      </c>
      <c r="F40" s="9">
        <v>0.5</v>
      </c>
      <c r="G40" s="10">
        <f t="shared" si="10"/>
        <v>42497.5</v>
      </c>
      <c r="H40" s="11"/>
      <c r="I40" s="20" t="s">
        <v>48</v>
      </c>
      <c r="J40" s="12"/>
      <c r="K40" s="12"/>
      <c r="L40" s="13">
        <v>4.1999999999999997E-3</v>
      </c>
      <c r="M40" s="12"/>
      <c r="N40" s="13">
        <f>$L$40*N$35</f>
        <v>4.1999999999999997E-3</v>
      </c>
      <c r="O40" s="13">
        <f t="shared" ref="O40:Q40" si="13">$L$40*O$35</f>
        <v>8.3999999999999995E-3</v>
      </c>
      <c r="P40" s="13">
        <f t="shared" si="13"/>
        <v>1.26E-2</v>
      </c>
      <c r="Q40" s="13">
        <f t="shared" si="13"/>
        <v>1.6799999999999999E-2</v>
      </c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ht="18" x14ac:dyDescent="0.4">
      <c r="A41" s="5">
        <v>1</v>
      </c>
      <c r="B41" s="5" t="s">
        <v>18</v>
      </c>
      <c r="C41" s="6">
        <v>60</v>
      </c>
      <c r="D41" s="7">
        <v>8.6199999999999999E-2</v>
      </c>
      <c r="E41" s="8">
        <f t="shared" si="9"/>
        <v>1293.4524285308762</v>
      </c>
      <c r="F41" s="9">
        <v>0.4</v>
      </c>
      <c r="G41" s="10">
        <f t="shared" si="10"/>
        <v>33998</v>
      </c>
      <c r="H41" s="11"/>
      <c r="I41" s="20" t="s">
        <v>49</v>
      </c>
      <c r="J41" s="12"/>
      <c r="K41" s="12"/>
      <c r="L41" s="13">
        <v>3.5000000000000001E-3</v>
      </c>
      <c r="M41" s="12"/>
      <c r="N41" s="13">
        <f>$L$41*N$35</f>
        <v>3.5000000000000001E-3</v>
      </c>
      <c r="O41" s="13">
        <f t="shared" ref="O41:Q41" si="14">$L$41*O$35</f>
        <v>7.0000000000000001E-3</v>
      </c>
      <c r="P41" s="13">
        <f t="shared" si="14"/>
        <v>1.0500000000000001E-2</v>
      </c>
      <c r="Q41" s="13">
        <f t="shared" si="14"/>
        <v>1.4E-2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spans="1:29" ht="18" x14ac:dyDescent="0.4">
      <c r="A42" s="5">
        <v>1</v>
      </c>
      <c r="B42" s="5" t="s">
        <v>18</v>
      </c>
      <c r="C42" s="6">
        <v>72</v>
      </c>
      <c r="D42" s="7">
        <v>8.5300000000000001E-2</v>
      </c>
      <c r="E42" s="8">
        <f t="shared" si="9"/>
        <v>1194.4745846286207</v>
      </c>
      <c r="F42" s="9">
        <v>0.35</v>
      </c>
      <c r="G42" s="10">
        <f t="shared" si="10"/>
        <v>29748.249999999996</v>
      </c>
      <c r="H42" s="11"/>
      <c r="I42" s="20" t="s">
        <v>50</v>
      </c>
      <c r="J42" s="12"/>
      <c r="K42" s="12"/>
      <c r="L42" s="13">
        <v>3.0999999999999999E-3</v>
      </c>
      <c r="M42" s="12"/>
      <c r="N42" s="13">
        <f>$L$42*N$35</f>
        <v>3.0999999999999999E-3</v>
      </c>
      <c r="O42" s="13">
        <f t="shared" ref="O42:Q42" si="15">$L$42*O$35</f>
        <v>6.1999999999999998E-3</v>
      </c>
      <c r="P42" s="13">
        <f t="shared" si="15"/>
        <v>9.2999999999999992E-3</v>
      </c>
      <c r="Q42" s="13">
        <f t="shared" si="15"/>
        <v>1.24E-2</v>
      </c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spans="1:29" ht="18" x14ac:dyDescent="0.4">
      <c r="A43" s="5">
        <v>1</v>
      </c>
      <c r="B43" s="5" t="s">
        <v>18</v>
      </c>
      <c r="C43" s="6">
        <v>84</v>
      </c>
      <c r="D43" s="7">
        <v>8.4600000000000009E-2</v>
      </c>
      <c r="E43" s="8">
        <f t="shared" si="9"/>
        <v>1120.7835686544524</v>
      </c>
      <c r="F43" s="9">
        <v>0.3</v>
      </c>
      <c r="G43" s="10">
        <f t="shared" si="10"/>
        <v>25498.5</v>
      </c>
      <c r="H43" s="11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spans="1:29" ht="18" x14ac:dyDescent="0.4">
      <c r="A44" s="5">
        <v>2</v>
      </c>
      <c r="B44" s="5" t="s">
        <v>18</v>
      </c>
      <c r="C44" s="6">
        <v>24</v>
      </c>
      <c r="D44" s="7">
        <v>0.10050000000000001</v>
      </c>
      <c r="E44" s="8">
        <f t="shared" si="9"/>
        <v>1996.7197834872554</v>
      </c>
      <c r="F44" s="9">
        <v>0.6</v>
      </c>
      <c r="G44" s="10">
        <f t="shared" si="10"/>
        <v>50997</v>
      </c>
      <c r="H44" s="11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spans="1:29" ht="18" x14ac:dyDescent="0.4">
      <c r="A45" s="5">
        <v>2</v>
      </c>
      <c r="B45" s="5" t="s">
        <v>18</v>
      </c>
      <c r="C45" s="6">
        <v>36</v>
      </c>
      <c r="D45" s="7">
        <v>9.2899999999999996E-2</v>
      </c>
      <c r="E45" s="8">
        <f t="shared" si="9"/>
        <v>1583.3387117530538</v>
      </c>
      <c r="F45" s="9">
        <v>0.55000000000000004</v>
      </c>
      <c r="G45" s="10">
        <f t="shared" si="10"/>
        <v>46747.250000000007</v>
      </c>
      <c r="H45" s="11"/>
      <c r="I45" s="20"/>
      <c r="J45" s="12"/>
      <c r="K45" s="13"/>
      <c r="L45" s="13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1:29" ht="18" x14ac:dyDescent="0.4">
      <c r="A46" s="5">
        <v>2</v>
      </c>
      <c r="B46" s="5" t="s">
        <v>18</v>
      </c>
      <c r="C46" s="6">
        <v>48</v>
      </c>
      <c r="D46" s="7">
        <v>8.6199999999999999E-2</v>
      </c>
      <c r="E46" s="8">
        <f t="shared" si="9"/>
        <v>1355.1743172268339</v>
      </c>
      <c r="F46" s="9">
        <v>0.5</v>
      </c>
      <c r="G46" s="10">
        <f t="shared" si="10"/>
        <v>42497.5</v>
      </c>
      <c r="H46" s="11"/>
      <c r="I46" s="30"/>
      <c r="J46" s="30"/>
      <c r="K46" s="30"/>
      <c r="L46" s="30"/>
      <c r="M46" s="30"/>
      <c r="N46" s="30"/>
      <c r="O46" s="30"/>
      <c r="P46" s="30"/>
      <c r="Q46" s="30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spans="1:29" ht="18" x14ac:dyDescent="0.4">
      <c r="A47" s="5">
        <v>2</v>
      </c>
      <c r="B47" s="5" t="s">
        <v>18</v>
      </c>
      <c r="C47" s="6">
        <v>60</v>
      </c>
      <c r="D47" s="7">
        <v>9.1300000000000006E-2</v>
      </c>
      <c r="E47" s="8">
        <f>PMT(D47/12,C47,-84995,G47)</f>
        <v>1320.5024160870114</v>
      </c>
      <c r="F47" s="9">
        <v>0.4</v>
      </c>
      <c r="G47" s="10">
        <f>SUM(84995*F47)</f>
        <v>33998</v>
      </c>
      <c r="H47" s="11"/>
      <c r="I47" s="20"/>
      <c r="J47" s="21"/>
      <c r="K47" s="12"/>
      <c r="L47" s="21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1:29" ht="18" x14ac:dyDescent="0.4">
      <c r="A48" s="5">
        <v>2</v>
      </c>
      <c r="B48" s="5" t="s">
        <v>18</v>
      </c>
      <c r="C48" s="6">
        <v>72</v>
      </c>
      <c r="D48" s="7">
        <v>8.950000000000001E-2</v>
      </c>
      <c r="E48" s="8">
        <f t="shared" si="7"/>
        <v>1053.9256631793216</v>
      </c>
      <c r="F48" s="9">
        <v>0.35</v>
      </c>
      <c r="G48" s="10">
        <f t="shared" si="8"/>
        <v>25775.75</v>
      </c>
      <c r="H48" s="11"/>
      <c r="I48" s="20"/>
      <c r="J48" s="21"/>
      <c r="K48" s="12"/>
      <c r="L48" s="13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spans="1:29" ht="18" x14ac:dyDescent="0.4">
      <c r="A49" s="5">
        <v>2</v>
      </c>
      <c r="B49" s="5" t="s">
        <v>18</v>
      </c>
      <c r="C49" s="6">
        <v>84</v>
      </c>
      <c r="D49" s="7">
        <v>8.8100000000000012E-2</v>
      </c>
      <c r="E49" s="8">
        <f t="shared" si="7"/>
        <v>986.65698210000403</v>
      </c>
      <c r="F49" s="9">
        <v>0.3</v>
      </c>
      <c r="G49" s="10">
        <f t="shared" si="8"/>
        <v>22093.5</v>
      </c>
      <c r="H49" s="11"/>
      <c r="I49" s="20"/>
      <c r="J49" s="21"/>
      <c r="K49" s="12"/>
      <c r="L49" s="13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spans="1:29" ht="18" x14ac:dyDescent="0.4">
      <c r="A50" s="5">
        <v>3</v>
      </c>
      <c r="B50" s="5" t="s">
        <v>18</v>
      </c>
      <c r="C50" s="6">
        <v>24</v>
      </c>
      <c r="D50" s="7">
        <v>0.1105</v>
      </c>
      <c r="E50" s="8">
        <f t="shared" si="7"/>
        <v>1780.5462518518855</v>
      </c>
      <c r="F50" s="9">
        <v>0.6</v>
      </c>
      <c r="G50" s="10">
        <f t="shared" si="8"/>
        <v>44187</v>
      </c>
      <c r="H50" s="11"/>
      <c r="I50" s="20"/>
      <c r="J50" s="21"/>
      <c r="K50" s="12"/>
      <c r="L50" s="13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spans="1:29" ht="18" x14ac:dyDescent="0.4">
      <c r="A51" s="5">
        <v>3</v>
      </c>
      <c r="B51" s="5" t="s">
        <v>18</v>
      </c>
      <c r="C51" s="6">
        <v>36</v>
      </c>
      <c r="D51" s="7">
        <v>9.9599999999999994E-2</v>
      </c>
      <c r="E51" s="8">
        <f t="shared" si="7"/>
        <v>1404.9098171470985</v>
      </c>
      <c r="F51" s="9">
        <v>0.55000000000000004</v>
      </c>
      <c r="G51" s="10">
        <f t="shared" si="8"/>
        <v>40504.75</v>
      </c>
      <c r="H51" s="11"/>
      <c r="I51" s="20"/>
      <c r="J51" s="21"/>
      <c r="K51" s="12"/>
      <c r="L51" s="13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spans="1:29" ht="18" x14ac:dyDescent="0.4">
      <c r="A52" s="5">
        <v>3</v>
      </c>
      <c r="B52" s="5" t="s">
        <v>18</v>
      </c>
      <c r="C52" s="6">
        <v>48</v>
      </c>
      <c r="D52" s="7">
        <v>9.1299999999999992E-2</v>
      </c>
      <c r="E52" s="8">
        <f t="shared" si="7"/>
        <v>1198.7620093421735</v>
      </c>
      <c r="F52" s="9">
        <v>0.5</v>
      </c>
      <c r="G52" s="10">
        <f t="shared" si="8"/>
        <v>36822.5</v>
      </c>
      <c r="H52" s="11"/>
      <c r="I52" s="20"/>
      <c r="J52" s="21"/>
      <c r="K52" s="12"/>
      <c r="L52" s="13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spans="1:29" ht="18" x14ac:dyDescent="0.4">
      <c r="A53" s="5">
        <v>3</v>
      </c>
      <c r="B53" s="5" t="s">
        <v>18</v>
      </c>
      <c r="C53" s="6">
        <v>60</v>
      </c>
      <c r="D53" s="7">
        <v>9.6400000000000013E-2</v>
      </c>
      <c r="E53" s="8">
        <f t="shared" si="7"/>
        <v>1167.6812149278562</v>
      </c>
      <c r="F53" s="9">
        <v>0.4</v>
      </c>
      <c r="G53" s="10">
        <f t="shared" si="8"/>
        <v>29458</v>
      </c>
      <c r="H53" s="11"/>
      <c r="I53" s="12"/>
      <c r="J53" s="16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spans="1:29" ht="18" x14ac:dyDescent="0.4">
      <c r="A54" s="5">
        <v>3</v>
      </c>
      <c r="B54" s="5" t="s">
        <v>18</v>
      </c>
      <c r="C54" s="6">
        <v>72</v>
      </c>
      <c r="D54" s="7">
        <v>9.3700000000000006E-2</v>
      </c>
      <c r="E54" s="8">
        <f t="shared" si="7"/>
        <v>1072.951229047299</v>
      </c>
      <c r="F54" s="9">
        <v>0.35</v>
      </c>
      <c r="G54" s="10">
        <f t="shared" si="8"/>
        <v>25775.75</v>
      </c>
      <c r="H54" s="11"/>
      <c r="I54" s="12"/>
      <c r="J54" s="16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spans="1:29" ht="18" x14ac:dyDescent="0.4">
      <c r="A55" s="5">
        <v>3</v>
      </c>
      <c r="B55" s="5" t="s">
        <v>18</v>
      </c>
      <c r="C55" s="6">
        <v>84</v>
      </c>
      <c r="D55" s="7">
        <v>9.1600000000000001E-2</v>
      </c>
      <c r="E55" s="8">
        <f t="shared" si="7"/>
        <v>1002.2552457347399</v>
      </c>
      <c r="F55" s="9">
        <v>0.3</v>
      </c>
      <c r="G55" s="10">
        <f t="shared" si="8"/>
        <v>22093.5</v>
      </c>
      <c r="H55" s="11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spans="1:29" ht="18" x14ac:dyDescent="0.4">
      <c r="A56" s="5">
        <v>4</v>
      </c>
      <c r="B56" s="5" t="s">
        <v>18</v>
      </c>
      <c r="C56" s="6">
        <v>24</v>
      </c>
      <c r="D56" s="7">
        <v>0.1205</v>
      </c>
      <c r="E56" s="8">
        <f t="shared" si="7"/>
        <v>1831.0894040326464</v>
      </c>
      <c r="F56" s="9">
        <v>0.6</v>
      </c>
      <c r="G56" s="10">
        <f t="shared" si="8"/>
        <v>44187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spans="1:29" ht="18" x14ac:dyDescent="0.4">
      <c r="A57" s="5">
        <v>4</v>
      </c>
      <c r="B57" s="5" t="s">
        <v>18</v>
      </c>
      <c r="C57" s="6">
        <v>36</v>
      </c>
      <c r="D57" s="7">
        <v>0.10630000000000001</v>
      </c>
      <c r="E57" s="8">
        <f t="shared" si="7"/>
        <v>1437.9762826152451</v>
      </c>
      <c r="F57" s="9">
        <v>0.55000000000000004</v>
      </c>
      <c r="G57" s="10">
        <f t="shared" si="8"/>
        <v>40504.75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spans="1:29" ht="18" x14ac:dyDescent="0.4">
      <c r="A58" s="5">
        <v>4</v>
      </c>
      <c r="B58" s="5" t="s">
        <v>18</v>
      </c>
      <c r="C58" s="6">
        <v>48</v>
      </c>
      <c r="D58" s="7">
        <v>9.64E-2</v>
      </c>
      <c r="E58" s="8">
        <f t="shared" si="7"/>
        <v>1223.3678692864696</v>
      </c>
      <c r="F58" s="9">
        <v>0.5</v>
      </c>
      <c r="G58" s="10">
        <f t="shared" si="8"/>
        <v>36822.5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spans="1:29" ht="18" x14ac:dyDescent="0.4">
      <c r="A59" s="5">
        <v>4</v>
      </c>
      <c r="B59" s="5" t="s">
        <v>18</v>
      </c>
      <c r="C59" s="6">
        <v>60</v>
      </c>
      <c r="D59" s="7">
        <v>0.10150000000000001</v>
      </c>
      <c r="E59" s="8">
        <f t="shared" si="7"/>
        <v>1191.2733430682231</v>
      </c>
      <c r="F59" s="9">
        <v>0.4</v>
      </c>
      <c r="G59" s="10">
        <f t="shared" si="8"/>
        <v>29458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spans="1:29" ht="18" x14ac:dyDescent="0.4">
      <c r="A60" s="5">
        <v>4</v>
      </c>
      <c r="B60" s="5" t="s">
        <v>18</v>
      </c>
      <c r="C60" s="6">
        <v>72</v>
      </c>
      <c r="D60" s="7">
        <v>9.7900000000000001E-2</v>
      </c>
      <c r="E60" s="8">
        <f t="shared" si="7"/>
        <v>1092.0441918432375</v>
      </c>
      <c r="F60" s="9">
        <v>0.35</v>
      </c>
      <c r="G60" s="10">
        <f t="shared" si="8"/>
        <v>25775.75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spans="1:29" ht="18" x14ac:dyDescent="0.4">
      <c r="A61" s="5">
        <v>4</v>
      </c>
      <c r="B61" s="5" t="s">
        <v>18</v>
      </c>
      <c r="C61" s="6">
        <v>84</v>
      </c>
      <c r="D61" s="7">
        <v>9.5100000000000004E-2</v>
      </c>
      <c r="E61" s="8">
        <f t="shared" si="7"/>
        <v>1017.9117830971628</v>
      </c>
      <c r="F61" s="9">
        <v>0.3</v>
      </c>
      <c r="G61" s="10">
        <f t="shared" si="8"/>
        <v>22093.5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spans="1:29" ht="18" x14ac:dyDescent="0.4">
      <c r="A62" s="5">
        <v>0</v>
      </c>
      <c r="B62" s="5" t="s">
        <v>51</v>
      </c>
      <c r="C62" s="6">
        <v>24</v>
      </c>
      <c r="D62" s="7">
        <v>9.0499999999999997E-2</v>
      </c>
      <c r="E62" s="8">
        <f t="shared" si="7"/>
        <v>1679.7006572197906</v>
      </c>
      <c r="F62" s="9">
        <v>0.6</v>
      </c>
      <c r="G62" s="10">
        <f t="shared" si="8"/>
        <v>44187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spans="1:29" ht="18" x14ac:dyDescent="0.4">
      <c r="A63" s="5">
        <v>0</v>
      </c>
      <c r="B63" s="5" t="s">
        <v>51</v>
      </c>
      <c r="C63" s="6">
        <v>36</v>
      </c>
      <c r="D63" s="7">
        <v>8.6199999999999999E-2</v>
      </c>
      <c r="E63" s="8">
        <f t="shared" si="7"/>
        <v>1338.9589139262678</v>
      </c>
      <c r="F63" s="9">
        <v>0.55000000000000004</v>
      </c>
      <c r="G63" s="10">
        <f t="shared" si="8"/>
        <v>40504.75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spans="1:29" ht="18" x14ac:dyDescent="0.4">
      <c r="A64" s="5">
        <v>0</v>
      </c>
      <c r="B64" s="5" t="s">
        <v>51</v>
      </c>
      <c r="C64" s="6">
        <v>48</v>
      </c>
      <c r="D64" s="7">
        <v>8.1100000000000005E-2</v>
      </c>
      <c r="E64" s="8">
        <f t="shared" si="7"/>
        <v>1149.7060765599892</v>
      </c>
      <c r="F64" s="9">
        <v>0.5</v>
      </c>
      <c r="G64" s="10">
        <f t="shared" si="8"/>
        <v>36822.5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spans="1:29" ht="18" x14ac:dyDescent="0.4">
      <c r="A65" s="5">
        <v>0</v>
      </c>
      <c r="B65" s="5" t="s">
        <v>51</v>
      </c>
      <c r="C65" s="6">
        <v>60</v>
      </c>
      <c r="D65" s="7">
        <v>7.669999999999999E-2</v>
      </c>
      <c r="E65" s="8">
        <f t="shared" si="7"/>
        <v>1026.7296144058514</v>
      </c>
      <c r="F65" s="9">
        <v>0.45</v>
      </c>
      <c r="G65" s="10">
        <f t="shared" si="8"/>
        <v>33140.25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spans="1:29" ht="18" x14ac:dyDescent="0.4">
      <c r="A66" s="5">
        <v>0</v>
      </c>
      <c r="B66" s="5" t="s">
        <v>51</v>
      </c>
      <c r="C66" s="6">
        <v>72</v>
      </c>
      <c r="D66" s="7">
        <v>7.3999999999999996E-2</v>
      </c>
      <c r="E66" s="8">
        <f t="shared" ref="E66:E91" si="16">PMT(D66/12,C66,-dealTotal,G66)</f>
        <v>943.51795120806958</v>
      </c>
      <c r="F66" s="9">
        <v>0.4</v>
      </c>
      <c r="G66" s="10">
        <f t="shared" ref="G66:G91" si="17">SUM(dealTotal*F66)</f>
        <v>29458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1:29" ht="18" x14ac:dyDescent="0.4">
      <c r="A67" s="5">
        <v>0</v>
      </c>
      <c r="B67" s="5" t="s">
        <v>51</v>
      </c>
      <c r="C67" s="6">
        <v>84</v>
      </c>
      <c r="D67" s="7">
        <v>7.3599999999999999E-2</v>
      </c>
      <c r="E67" s="8">
        <f t="shared" si="16"/>
        <v>889.01988647834901</v>
      </c>
      <c r="F67" s="9">
        <v>0.35</v>
      </c>
      <c r="G67" s="10">
        <f t="shared" si="17"/>
        <v>25775.75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spans="1:29" ht="18" x14ac:dyDescent="0.4">
      <c r="A68" s="5">
        <v>1</v>
      </c>
      <c r="B68" s="5" t="s">
        <v>51</v>
      </c>
      <c r="C68" s="6">
        <v>24</v>
      </c>
      <c r="D68" s="7">
        <v>9.0499999999999997E-2</v>
      </c>
      <c r="E68" s="8">
        <f t="shared" si="16"/>
        <v>1679.7006572197906</v>
      </c>
      <c r="F68" s="9">
        <v>0.6</v>
      </c>
      <c r="G68" s="10">
        <f t="shared" si="17"/>
        <v>44187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spans="1:29" ht="18" x14ac:dyDescent="0.4">
      <c r="A69" s="5">
        <v>1</v>
      </c>
      <c r="B69" s="5" t="s">
        <v>51</v>
      </c>
      <c r="C69" s="6">
        <v>36</v>
      </c>
      <c r="D69" s="7">
        <v>8.6199999999999999E-2</v>
      </c>
      <c r="E69" s="8">
        <f t="shared" si="16"/>
        <v>1338.9589139262678</v>
      </c>
      <c r="F69" s="9">
        <v>0.55000000000000004</v>
      </c>
      <c r="G69" s="10">
        <f t="shared" si="17"/>
        <v>40504.75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spans="1:29" ht="18" x14ac:dyDescent="0.4">
      <c r="A70" s="5">
        <v>1</v>
      </c>
      <c r="B70" s="5" t="s">
        <v>51</v>
      </c>
      <c r="C70" s="6">
        <v>48</v>
      </c>
      <c r="D70" s="7">
        <v>8.1100000000000005E-2</v>
      </c>
      <c r="E70" s="8">
        <f t="shared" si="16"/>
        <v>1149.7060765599892</v>
      </c>
      <c r="F70" s="9">
        <v>0.5</v>
      </c>
      <c r="G70" s="10">
        <f t="shared" si="17"/>
        <v>36822.5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spans="1:29" ht="18" x14ac:dyDescent="0.4">
      <c r="A71" s="5">
        <v>1</v>
      </c>
      <c r="B71" s="5" t="s">
        <v>51</v>
      </c>
      <c r="C71" s="6">
        <v>60</v>
      </c>
      <c r="D71" s="7">
        <v>7.669999999999999E-2</v>
      </c>
      <c r="E71" s="8">
        <f t="shared" si="16"/>
        <v>1026.7296144058514</v>
      </c>
      <c r="F71" s="9">
        <v>0.45</v>
      </c>
      <c r="G71" s="10">
        <f t="shared" si="17"/>
        <v>33140.25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spans="1:29" ht="18" x14ac:dyDescent="0.4">
      <c r="A72" s="5">
        <v>1</v>
      </c>
      <c r="B72" s="5" t="s">
        <v>51</v>
      </c>
      <c r="C72" s="6">
        <v>72</v>
      </c>
      <c r="D72" s="7">
        <v>7.3999999999999996E-2</v>
      </c>
      <c r="E72" s="8">
        <f t="shared" si="16"/>
        <v>943.51795120806958</v>
      </c>
      <c r="F72" s="9">
        <v>0.4</v>
      </c>
      <c r="G72" s="10">
        <f t="shared" si="17"/>
        <v>29458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spans="1:29" ht="18" x14ac:dyDescent="0.4">
      <c r="A73" s="5">
        <v>1</v>
      </c>
      <c r="B73" s="5" t="s">
        <v>51</v>
      </c>
      <c r="C73" s="6">
        <v>84</v>
      </c>
      <c r="D73" s="7">
        <v>7.3599999999999999E-2</v>
      </c>
      <c r="E73" s="8">
        <f t="shared" si="16"/>
        <v>889.01988647834901</v>
      </c>
      <c r="F73" s="9">
        <v>0.35</v>
      </c>
      <c r="G73" s="10">
        <f t="shared" si="17"/>
        <v>25775.75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spans="1:29" ht="18" x14ac:dyDescent="0.4">
      <c r="A74" s="5">
        <v>2</v>
      </c>
      <c r="B74" s="5" t="s">
        <v>51</v>
      </c>
      <c r="C74" s="6">
        <v>24</v>
      </c>
      <c r="D74" s="7">
        <v>0.10050000000000001</v>
      </c>
      <c r="E74" s="8">
        <f t="shared" si="16"/>
        <v>1730.0832808390956</v>
      </c>
      <c r="F74" s="9">
        <v>0.6</v>
      </c>
      <c r="G74" s="10">
        <f t="shared" si="17"/>
        <v>44187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spans="1:29" ht="18" x14ac:dyDescent="0.4">
      <c r="A75" s="5">
        <v>2</v>
      </c>
      <c r="B75" s="5" t="s">
        <v>51</v>
      </c>
      <c r="C75" s="6">
        <v>36</v>
      </c>
      <c r="D75" s="7">
        <v>9.2899999999999996E-2</v>
      </c>
      <c r="E75" s="8">
        <f t="shared" si="16"/>
        <v>1371.9039876116672</v>
      </c>
      <c r="F75" s="9">
        <v>0.55000000000000004</v>
      </c>
      <c r="G75" s="10">
        <f t="shared" si="17"/>
        <v>40504.75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spans="1:29" ht="18" x14ac:dyDescent="0.4">
      <c r="A76" s="5">
        <v>2</v>
      </c>
      <c r="B76" s="5" t="s">
        <v>51</v>
      </c>
      <c r="C76" s="6">
        <v>48</v>
      </c>
      <c r="D76" s="7">
        <v>8.6199999999999999E-2</v>
      </c>
      <c r="E76" s="8">
        <f t="shared" si="16"/>
        <v>1174.2080427339276</v>
      </c>
      <c r="F76" s="9">
        <v>0.5</v>
      </c>
      <c r="G76" s="10">
        <f t="shared" si="17"/>
        <v>36822.5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spans="1:29" ht="18" x14ac:dyDescent="0.4">
      <c r="A77" s="5">
        <v>2</v>
      </c>
      <c r="B77" s="5" t="s">
        <v>51</v>
      </c>
      <c r="C77" s="6">
        <v>60</v>
      </c>
      <c r="D77" s="7">
        <v>8.09E-2</v>
      </c>
      <c r="E77" s="8">
        <f t="shared" si="16"/>
        <v>1046.4565539464597</v>
      </c>
      <c r="F77" s="9">
        <v>0.45</v>
      </c>
      <c r="G77" s="10">
        <f t="shared" si="17"/>
        <v>33140.25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spans="1:29" ht="18" x14ac:dyDescent="0.4">
      <c r="A78" s="5">
        <v>2</v>
      </c>
      <c r="B78" s="5" t="s">
        <v>51</v>
      </c>
      <c r="C78" s="6">
        <v>72</v>
      </c>
      <c r="D78" s="7">
        <v>7.7499999999999999E-2</v>
      </c>
      <c r="E78" s="8">
        <f t="shared" si="16"/>
        <v>959.60817823346019</v>
      </c>
      <c r="F78" s="9">
        <v>0.4</v>
      </c>
      <c r="G78" s="10">
        <f t="shared" si="17"/>
        <v>29458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spans="1:29" ht="18" x14ac:dyDescent="0.4">
      <c r="A79" s="5">
        <v>2</v>
      </c>
      <c r="B79" s="5" t="s">
        <v>51</v>
      </c>
      <c r="C79" s="6">
        <v>84</v>
      </c>
      <c r="D79" s="7">
        <v>7.669999999999999E-2</v>
      </c>
      <c r="E79" s="8">
        <f t="shared" si="16"/>
        <v>903.00454007282838</v>
      </c>
      <c r="F79" s="9">
        <v>0.35</v>
      </c>
      <c r="G79" s="10">
        <f t="shared" si="17"/>
        <v>25775.75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1:29" ht="18" x14ac:dyDescent="0.4">
      <c r="A80" s="5">
        <v>3</v>
      </c>
      <c r="B80" s="5" t="s">
        <v>51</v>
      </c>
      <c r="C80" s="6">
        <v>24</v>
      </c>
      <c r="D80" s="7">
        <v>0.1105</v>
      </c>
      <c r="E80" s="8">
        <f t="shared" si="16"/>
        <v>1780.5462518518855</v>
      </c>
      <c r="F80" s="9">
        <v>0.6</v>
      </c>
      <c r="G80" s="10">
        <f t="shared" si="17"/>
        <v>44187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spans="1:29" ht="18" x14ac:dyDescent="0.4">
      <c r="A81" s="5">
        <v>3</v>
      </c>
      <c r="B81" s="5" t="s">
        <v>51</v>
      </c>
      <c r="C81" s="6">
        <v>36</v>
      </c>
      <c r="D81" s="7">
        <v>9.9599999999999994E-2</v>
      </c>
      <c r="E81" s="8">
        <f t="shared" si="16"/>
        <v>1404.9098171470985</v>
      </c>
      <c r="F81" s="9">
        <v>0.55000000000000004</v>
      </c>
      <c r="G81" s="10">
        <f t="shared" si="17"/>
        <v>40504.75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spans="1:29" ht="18" x14ac:dyDescent="0.4">
      <c r="A82" s="5">
        <v>3</v>
      </c>
      <c r="B82" s="5" t="s">
        <v>51</v>
      </c>
      <c r="C82" s="6">
        <v>48</v>
      </c>
      <c r="D82" s="7">
        <v>9.1299999999999992E-2</v>
      </c>
      <c r="E82" s="8">
        <f t="shared" si="16"/>
        <v>1198.7620093421735</v>
      </c>
      <c r="F82" s="9">
        <v>0.5</v>
      </c>
      <c r="G82" s="10">
        <f t="shared" si="17"/>
        <v>36822.5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spans="1:29" ht="18" x14ac:dyDescent="0.4">
      <c r="A83" s="5">
        <v>3</v>
      </c>
      <c r="B83" s="5" t="s">
        <v>51</v>
      </c>
      <c r="C83" s="6">
        <v>60</v>
      </c>
      <c r="D83" s="7">
        <v>8.5099999999999995E-2</v>
      </c>
      <c r="E83" s="8">
        <f t="shared" si="16"/>
        <v>1066.2318098759959</v>
      </c>
      <c r="F83" s="9">
        <v>0.45</v>
      </c>
      <c r="G83" s="10">
        <f t="shared" si="17"/>
        <v>33140.25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spans="1:29" ht="18" x14ac:dyDescent="0.4">
      <c r="A84" s="5">
        <v>3</v>
      </c>
      <c r="B84" s="5" t="s">
        <v>51</v>
      </c>
      <c r="C84" s="6">
        <v>72</v>
      </c>
      <c r="D84" s="7">
        <v>8.0999999999999989E-2</v>
      </c>
      <c r="E84" s="8">
        <f t="shared" si="16"/>
        <v>975.7421230508603</v>
      </c>
      <c r="F84" s="9">
        <v>0.4</v>
      </c>
      <c r="G84" s="10">
        <f t="shared" si="17"/>
        <v>29458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spans="1:29" ht="18" x14ac:dyDescent="0.4">
      <c r="A85" s="5">
        <v>3</v>
      </c>
      <c r="B85" s="5" t="s">
        <v>51</v>
      </c>
      <c r="C85" s="6">
        <v>84</v>
      </c>
      <c r="D85" s="7">
        <v>7.9799999999999996E-2</v>
      </c>
      <c r="E85" s="8">
        <f t="shared" si="16"/>
        <v>917.03223890887227</v>
      </c>
      <c r="F85" s="9">
        <v>0.35</v>
      </c>
      <c r="G85" s="10">
        <f t="shared" si="17"/>
        <v>25775.75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spans="1:29" ht="18" x14ac:dyDescent="0.4">
      <c r="A86" s="5">
        <v>4</v>
      </c>
      <c r="B86" s="5" t="s">
        <v>51</v>
      </c>
      <c r="C86" s="6">
        <v>24</v>
      </c>
      <c r="D86" s="7">
        <v>0.1205</v>
      </c>
      <c r="E86" s="8">
        <f t="shared" si="16"/>
        <v>1831.0894040326464</v>
      </c>
      <c r="F86" s="9">
        <v>0.6</v>
      </c>
      <c r="G86" s="10">
        <f t="shared" si="17"/>
        <v>44187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spans="1:29" ht="18" x14ac:dyDescent="0.4">
      <c r="A87" s="5">
        <v>4</v>
      </c>
      <c r="B87" s="5" t="s">
        <v>51</v>
      </c>
      <c r="C87" s="6">
        <v>36</v>
      </c>
      <c r="D87" s="7">
        <v>0.10630000000000001</v>
      </c>
      <c r="E87" s="8">
        <f t="shared" si="16"/>
        <v>1437.9762826152451</v>
      </c>
      <c r="F87" s="9">
        <v>0.55000000000000004</v>
      </c>
      <c r="G87" s="10">
        <f t="shared" si="17"/>
        <v>40504.75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spans="1:29" ht="18" x14ac:dyDescent="0.4">
      <c r="A88" s="5">
        <v>4</v>
      </c>
      <c r="B88" s="5" t="s">
        <v>51</v>
      </c>
      <c r="C88" s="6">
        <v>48</v>
      </c>
      <c r="D88" s="7">
        <v>9.64E-2</v>
      </c>
      <c r="E88" s="8">
        <f t="shared" si="16"/>
        <v>1223.3678692864696</v>
      </c>
      <c r="F88" s="9">
        <v>0.5</v>
      </c>
      <c r="G88" s="10">
        <f t="shared" si="17"/>
        <v>36822.5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spans="1:29" ht="18" x14ac:dyDescent="0.4">
      <c r="A89" s="5">
        <v>4</v>
      </c>
      <c r="B89" s="5" t="s">
        <v>51</v>
      </c>
      <c r="C89" s="6">
        <v>60</v>
      </c>
      <c r="D89" s="7">
        <v>8.929999999999999E-2</v>
      </c>
      <c r="E89" s="8">
        <v>1086.055274053517</v>
      </c>
      <c r="F89" s="9">
        <v>0.45</v>
      </c>
      <c r="G89" s="10">
        <f t="shared" si="17"/>
        <v>33140.25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spans="1:29" ht="18" x14ac:dyDescent="0.4">
      <c r="A90" s="5">
        <v>4</v>
      </c>
      <c r="B90" s="5" t="s">
        <v>51</v>
      </c>
      <c r="C90" s="6">
        <v>72</v>
      </c>
      <c r="D90" s="7">
        <v>8.4499999999999992E-2</v>
      </c>
      <c r="E90" s="8">
        <f t="shared" si="16"/>
        <v>991.91968070898156</v>
      </c>
      <c r="F90" s="9">
        <v>0.4</v>
      </c>
      <c r="G90" s="10">
        <f t="shared" si="17"/>
        <v>29458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spans="1:29" ht="18" x14ac:dyDescent="0.4">
      <c r="A91" s="5">
        <v>4</v>
      </c>
      <c r="B91" s="5" t="s">
        <v>51</v>
      </c>
      <c r="C91" s="6">
        <v>84</v>
      </c>
      <c r="D91" s="7">
        <v>8.2899999999999988E-2</v>
      </c>
      <c r="E91" s="8">
        <f t="shared" si="16"/>
        <v>931.10286581611911</v>
      </c>
      <c r="F91" s="9">
        <v>0.35</v>
      </c>
      <c r="G91" s="10">
        <f t="shared" si="17"/>
        <v>25775.75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spans="1:29" ht="18" x14ac:dyDescent="0.4">
      <c r="A92" s="5">
        <v>0</v>
      </c>
      <c r="B92" s="5" t="s">
        <v>52</v>
      </c>
      <c r="C92" s="6">
        <v>24</v>
      </c>
      <c r="D92" s="7">
        <v>9.2999999999999999E-2</v>
      </c>
      <c r="E92" s="8">
        <f t="shared" ref="E92:E121" si="18">PMT(D92/12,C92,-dealTotal)</f>
        <v>3374.5988042124136</v>
      </c>
      <c r="F92" s="9"/>
      <c r="G92" s="10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spans="1:29" ht="18" x14ac:dyDescent="0.4">
      <c r="A93" s="5">
        <v>0</v>
      </c>
      <c r="B93" s="5" t="s">
        <v>52</v>
      </c>
      <c r="C93" s="6">
        <v>36</v>
      </c>
      <c r="D93" s="7">
        <v>8.8700000000000001E-2</v>
      </c>
      <c r="E93" s="8">
        <f t="shared" si="18"/>
        <v>2337.4380632947859</v>
      </c>
      <c r="F93" s="9"/>
      <c r="G93" s="10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spans="1:29" ht="18" x14ac:dyDescent="0.4">
      <c r="A94" s="5">
        <v>0</v>
      </c>
      <c r="B94" s="5" t="s">
        <v>52</v>
      </c>
      <c r="C94" s="6">
        <v>48</v>
      </c>
      <c r="D94" s="7">
        <v>8.6199999999999999E-2</v>
      </c>
      <c r="E94" s="8">
        <f t="shared" si="18"/>
        <v>1819.399502134522</v>
      </c>
      <c r="F94" s="9"/>
      <c r="G94" s="10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spans="1:29" ht="18" x14ac:dyDescent="0.4">
      <c r="A95" s="5">
        <v>0</v>
      </c>
      <c r="B95" s="5" t="s">
        <v>52</v>
      </c>
      <c r="C95" s="6">
        <v>60</v>
      </c>
      <c r="D95" s="7">
        <v>8.4699999999999998E-2</v>
      </c>
      <c r="E95" s="8">
        <f t="shared" si="18"/>
        <v>1509.8753494347279</v>
      </c>
      <c r="F95" s="9"/>
      <c r="G95" s="10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spans="1:29" ht="18" x14ac:dyDescent="0.4">
      <c r="A96" s="5">
        <v>0</v>
      </c>
      <c r="B96" s="5" t="s">
        <v>52</v>
      </c>
      <c r="C96" s="6">
        <v>72</v>
      </c>
      <c r="D96" s="7">
        <v>8.4000000000000005E-2</v>
      </c>
      <c r="E96" s="8">
        <f t="shared" si="18"/>
        <v>1305.6665582350709</v>
      </c>
      <c r="F96" s="9"/>
      <c r="G96" s="10"/>
    </row>
    <row r="97" spans="1:7" ht="18" x14ac:dyDescent="0.4">
      <c r="A97" s="5">
        <v>0</v>
      </c>
      <c r="B97" s="5" t="s">
        <v>52</v>
      </c>
      <c r="C97" s="6">
        <v>84</v>
      </c>
      <c r="D97" s="7">
        <v>8.3600000000000008E-2</v>
      </c>
      <c r="E97" s="8">
        <f t="shared" si="18"/>
        <v>1161.0999609661169</v>
      </c>
      <c r="F97" s="9"/>
      <c r="G97" s="10"/>
    </row>
    <row r="98" spans="1:7" ht="18" x14ac:dyDescent="0.4">
      <c r="A98" s="5">
        <v>1</v>
      </c>
      <c r="B98" s="5" t="s">
        <v>52</v>
      </c>
      <c r="C98" s="6">
        <v>24</v>
      </c>
      <c r="D98" s="7">
        <v>9.2999999999999999E-2</v>
      </c>
      <c r="E98" s="8">
        <f t="shared" si="18"/>
        <v>3374.5988042124136</v>
      </c>
      <c r="F98" s="9"/>
      <c r="G98" s="10"/>
    </row>
    <row r="99" spans="1:7" ht="18" x14ac:dyDescent="0.4">
      <c r="A99" s="5">
        <v>1</v>
      </c>
      <c r="B99" s="5" t="s">
        <v>52</v>
      </c>
      <c r="C99" s="6">
        <v>36</v>
      </c>
      <c r="D99" s="7">
        <v>8.8700000000000001E-2</v>
      </c>
      <c r="E99" s="8">
        <f t="shared" si="18"/>
        <v>2337.4380632947859</v>
      </c>
      <c r="F99" s="9"/>
      <c r="G99" s="10"/>
    </row>
    <row r="100" spans="1:7" ht="18" x14ac:dyDescent="0.4">
      <c r="A100" s="5">
        <v>1</v>
      </c>
      <c r="B100" s="5" t="s">
        <v>52</v>
      </c>
      <c r="C100" s="6">
        <v>48</v>
      </c>
      <c r="D100" s="7">
        <v>8.6199999999999999E-2</v>
      </c>
      <c r="E100" s="8">
        <f t="shared" si="18"/>
        <v>1819.399502134522</v>
      </c>
      <c r="F100" s="9"/>
      <c r="G100" s="10"/>
    </row>
    <row r="101" spans="1:7" ht="18" x14ac:dyDescent="0.4">
      <c r="A101" s="5">
        <v>1</v>
      </c>
      <c r="B101" s="5" t="s">
        <v>52</v>
      </c>
      <c r="C101" s="6">
        <v>60</v>
      </c>
      <c r="D101" s="7">
        <v>8.4699999999999998E-2</v>
      </c>
      <c r="E101" s="8">
        <f t="shared" si="18"/>
        <v>1509.8753494347279</v>
      </c>
      <c r="F101" s="9"/>
      <c r="G101" s="10"/>
    </row>
    <row r="102" spans="1:7" ht="18" x14ac:dyDescent="0.4">
      <c r="A102" s="5">
        <v>1</v>
      </c>
      <c r="B102" s="5" t="s">
        <v>52</v>
      </c>
      <c r="C102" s="6">
        <v>72</v>
      </c>
      <c r="D102" s="7">
        <v>8.4000000000000005E-2</v>
      </c>
      <c r="E102" s="8">
        <f t="shared" si="18"/>
        <v>1305.6665582350709</v>
      </c>
      <c r="F102" s="9"/>
      <c r="G102" s="10"/>
    </row>
    <row r="103" spans="1:7" ht="18" x14ac:dyDescent="0.4">
      <c r="A103" s="5">
        <v>1</v>
      </c>
      <c r="B103" s="5" t="s">
        <v>52</v>
      </c>
      <c r="C103" s="6">
        <v>84</v>
      </c>
      <c r="D103" s="7">
        <v>8.3600000000000008E-2</v>
      </c>
      <c r="E103" s="8">
        <f t="shared" si="18"/>
        <v>1161.0999609661169</v>
      </c>
      <c r="F103" s="9"/>
      <c r="G103" s="10"/>
    </row>
    <row r="104" spans="1:7" ht="18" x14ac:dyDescent="0.4">
      <c r="A104" s="5">
        <v>2</v>
      </c>
      <c r="B104" s="5" t="s">
        <v>52</v>
      </c>
      <c r="C104" s="6">
        <v>24</v>
      </c>
      <c r="D104" s="7">
        <v>0.10300000000000001</v>
      </c>
      <c r="E104" s="8">
        <f t="shared" si="18"/>
        <v>3408.5493685450183</v>
      </c>
      <c r="F104" s="9"/>
      <c r="G104" s="10"/>
    </row>
    <row r="105" spans="1:7" ht="18" x14ac:dyDescent="0.4">
      <c r="A105" s="5">
        <v>2</v>
      </c>
      <c r="B105" s="5" t="s">
        <v>52</v>
      </c>
      <c r="C105" s="6">
        <v>36</v>
      </c>
      <c r="D105" s="7">
        <v>9.5399999999999999E-2</v>
      </c>
      <c r="E105" s="8">
        <f t="shared" si="18"/>
        <v>2360.4438531486621</v>
      </c>
      <c r="F105" s="9"/>
      <c r="G105" s="10"/>
    </row>
    <row r="106" spans="1:7" ht="18" x14ac:dyDescent="0.4">
      <c r="A106" s="5">
        <v>2</v>
      </c>
      <c r="B106" s="5" t="s">
        <v>52</v>
      </c>
      <c r="C106" s="6">
        <v>48</v>
      </c>
      <c r="D106" s="7">
        <v>9.1300000000000006E-2</v>
      </c>
      <c r="E106" s="8">
        <f t="shared" si="18"/>
        <v>1837.2083103510142</v>
      </c>
      <c r="F106" s="9"/>
      <c r="G106" s="10"/>
    </row>
    <row r="107" spans="1:7" ht="18" x14ac:dyDescent="0.4">
      <c r="A107" s="5">
        <v>2</v>
      </c>
      <c r="B107" s="5" t="s">
        <v>52</v>
      </c>
      <c r="C107" s="6">
        <v>60</v>
      </c>
      <c r="D107" s="7">
        <v>8.8900000000000007E-2</v>
      </c>
      <c r="E107" s="8">
        <f t="shared" si="18"/>
        <v>1524.820422490707</v>
      </c>
      <c r="F107" s="9"/>
      <c r="G107" s="10"/>
    </row>
    <row r="108" spans="1:7" ht="18" x14ac:dyDescent="0.4">
      <c r="A108" s="5">
        <v>2</v>
      </c>
      <c r="B108" s="5" t="s">
        <v>52</v>
      </c>
      <c r="C108" s="6">
        <v>72</v>
      </c>
      <c r="D108" s="7">
        <v>8.7500000000000008E-2</v>
      </c>
      <c r="E108" s="8">
        <f t="shared" si="18"/>
        <v>1318.371453694388</v>
      </c>
      <c r="F108" s="9"/>
      <c r="G108" s="10"/>
    </row>
    <row r="109" spans="1:7" ht="18" x14ac:dyDescent="0.4">
      <c r="A109" s="5">
        <v>2</v>
      </c>
      <c r="B109" s="5" t="s">
        <v>52</v>
      </c>
      <c r="C109" s="6">
        <v>84</v>
      </c>
      <c r="D109" s="7">
        <v>8.6699999999999999E-2</v>
      </c>
      <c r="E109" s="8">
        <f t="shared" si="18"/>
        <v>1172.5835731738177</v>
      </c>
      <c r="F109" s="9"/>
      <c r="G109" s="10"/>
    </row>
    <row r="110" spans="1:7" ht="18" x14ac:dyDescent="0.4">
      <c r="A110" s="5">
        <v>3</v>
      </c>
      <c r="B110" s="5" t="s">
        <v>52</v>
      </c>
      <c r="C110" s="6">
        <v>24</v>
      </c>
      <c r="D110" s="7">
        <v>0.113</v>
      </c>
      <c r="E110" s="8">
        <f t="shared" si="18"/>
        <v>3442.7006988330681</v>
      </c>
      <c r="F110" s="9"/>
      <c r="G110" s="10"/>
    </row>
    <row r="111" spans="1:7" ht="18" x14ac:dyDescent="0.4">
      <c r="A111" s="5">
        <v>3</v>
      </c>
      <c r="B111" s="5" t="s">
        <v>52</v>
      </c>
      <c r="C111" s="6">
        <v>36</v>
      </c>
      <c r="D111" s="7">
        <v>0.1021</v>
      </c>
      <c r="E111" s="8">
        <f t="shared" si="18"/>
        <v>2383.5845577385107</v>
      </c>
      <c r="F111" s="9"/>
      <c r="G111" s="10"/>
    </row>
    <row r="112" spans="1:7" ht="18" x14ac:dyDescent="0.4">
      <c r="A112" s="5">
        <v>3</v>
      </c>
      <c r="B112" s="5" t="s">
        <v>52</v>
      </c>
      <c r="C112" s="6">
        <v>48</v>
      </c>
      <c r="D112" s="7">
        <v>9.6400000000000013E-2</v>
      </c>
      <c r="E112" s="8">
        <f t="shared" si="18"/>
        <v>1855.1209052396057</v>
      </c>
      <c r="F112" s="9"/>
      <c r="G112" s="10"/>
    </row>
    <row r="113" spans="1:7" ht="18" x14ac:dyDescent="0.4">
      <c r="A113" s="5">
        <v>3</v>
      </c>
      <c r="B113" s="5" t="s">
        <v>52</v>
      </c>
      <c r="C113" s="6">
        <v>60</v>
      </c>
      <c r="D113" s="7">
        <v>9.3100000000000002E-2</v>
      </c>
      <c r="E113" s="8">
        <f t="shared" si="18"/>
        <v>1539.8529629640348</v>
      </c>
      <c r="F113" s="9"/>
      <c r="G113" s="10"/>
    </row>
    <row r="114" spans="1:7" ht="18" x14ac:dyDescent="0.4">
      <c r="A114" s="5">
        <v>3</v>
      </c>
      <c r="B114" s="5" t="s">
        <v>52</v>
      </c>
      <c r="C114" s="6">
        <v>72</v>
      </c>
      <c r="D114" s="7">
        <v>9.0999999999999998E-2</v>
      </c>
      <c r="E114" s="8">
        <f t="shared" si="18"/>
        <v>1331.1486971491438</v>
      </c>
      <c r="F114" s="9"/>
      <c r="G114" s="10"/>
    </row>
    <row r="115" spans="1:7" ht="18" x14ac:dyDescent="0.4">
      <c r="A115" s="5">
        <v>3</v>
      </c>
      <c r="B115" s="5" t="s">
        <v>52</v>
      </c>
      <c r="C115" s="6">
        <v>84</v>
      </c>
      <c r="D115" s="7">
        <v>8.9800000000000005E-2</v>
      </c>
      <c r="E115" s="8">
        <f t="shared" si="18"/>
        <v>1184.1328077713738</v>
      </c>
      <c r="F115" s="9"/>
      <c r="G115" s="10"/>
    </row>
    <row r="116" spans="1:7" ht="18" x14ac:dyDescent="0.4">
      <c r="A116" s="5">
        <v>4</v>
      </c>
      <c r="B116" s="5" t="s">
        <v>52</v>
      </c>
      <c r="C116" s="6">
        <v>24</v>
      </c>
      <c r="D116" s="7">
        <v>0.123</v>
      </c>
      <c r="E116" s="8">
        <f t="shared" si="18"/>
        <v>3477.0523758862673</v>
      </c>
      <c r="F116" s="9"/>
      <c r="G116" s="10"/>
    </row>
    <row r="117" spans="1:7" ht="18" x14ac:dyDescent="0.4">
      <c r="A117" s="5">
        <v>4</v>
      </c>
      <c r="B117" s="5" t="s">
        <v>52</v>
      </c>
      <c r="C117" s="6">
        <v>36</v>
      </c>
      <c r="D117" s="7">
        <v>0.10880000000000001</v>
      </c>
      <c r="E117" s="8">
        <f t="shared" si="18"/>
        <v>2406.8599068564636</v>
      </c>
      <c r="F117" s="9"/>
      <c r="G117" s="10"/>
    </row>
    <row r="118" spans="1:7" ht="18" x14ac:dyDescent="0.4">
      <c r="A118" s="5">
        <v>4</v>
      </c>
      <c r="B118" s="5" t="s">
        <v>52</v>
      </c>
      <c r="C118" s="6">
        <v>48</v>
      </c>
      <c r="D118" s="7">
        <v>0.10150000000000001</v>
      </c>
      <c r="E118" s="8">
        <f t="shared" si="18"/>
        <v>1873.1370647111671</v>
      </c>
      <c r="F118" s="9"/>
      <c r="G118" s="10"/>
    </row>
    <row r="119" spans="1:7" ht="18" x14ac:dyDescent="0.4">
      <c r="A119" s="5">
        <v>4</v>
      </c>
      <c r="B119" s="5" t="s">
        <v>52</v>
      </c>
      <c r="C119" s="6">
        <v>60</v>
      </c>
      <c r="D119" s="7">
        <v>9.7299999999999998E-2</v>
      </c>
      <c r="E119" s="8">
        <f t="shared" si="18"/>
        <v>1554.9727609258252</v>
      </c>
      <c r="F119" s="9"/>
      <c r="G119" s="10"/>
    </row>
    <row r="120" spans="1:7" ht="18" x14ac:dyDescent="0.4">
      <c r="A120" s="5">
        <v>4</v>
      </c>
      <c r="B120" s="5" t="s">
        <v>52</v>
      </c>
      <c r="C120" s="6">
        <v>72</v>
      </c>
      <c r="D120" s="7">
        <v>9.4500000000000001E-2</v>
      </c>
      <c r="E120" s="8">
        <f t="shared" si="18"/>
        <v>1343.998097393385</v>
      </c>
      <c r="F120" s="9"/>
      <c r="G120" s="10"/>
    </row>
    <row r="121" spans="1:7" ht="18" x14ac:dyDescent="0.4">
      <c r="A121" s="5">
        <v>4</v>
      </c>
      <c r="B121" s="5" t="s">
        <v>52</v>
      </c>
      <c r="C121" s="6">
        <v>84</v>
      </c>
      <c r="D121" s="7">
        <v>9.2899999999999996E-2</v>
      </c>
      <c r="E121" s="8">
        <f t="shared" si="18"/>
        <v>1195.7474670564322</v>
      </c>
      <c r="F121" s="9"/>
      <c r="G121" s="10"/>
    </row>
  </sheetData>
  <sheetProtection formatRows="0" insertRows="0" deleteRows="0" selectLockedCells="1"/>
  <autoFilter ref="A1:G121" xr:uid="{320FAF79-5A43-466B-AF68-59912D4DC46A}"/>
  <mergeCells count="2">
    <mergeCell ref="I36:Q36"/>
    <mergeCell ref="I46:Q4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DB90-8936-48E2-B070-BA47FA98A681}">
  <sheetPr codeName="Sheet3"/>
  <dimension ref="A1:AF121"/>
  <sheetViews>
    <sheetView showGridLines="0" zoomScale="85" zoomScaleNormal="85" workbookViewId="0"/>
  </sheetViews>
  <sheetFormatPr defaultColWidth="9" defaultRowHeight="15.5" x14ac:dyDescent="0.35"/>
  <cols>
    <col min="1" max="1" width="22.75" bestFit="1" customWidth="1"/>
    <col min="2" max="2" width="17.75" bestFit="1" customWidth="1"/>
    <col min="3" max="4" width="22.58203125" bestFit="1" customWidth="1"/>
    <col min="5" max="5" width="27.75" bestFit="1" customWidth="1"/>
    <col min="6" max="6" width="15.75" bestFit="1" customWidth="1"/>
    <col min="7" max="7" width="25.75" bestFit="1" customWidth="1"/>
    <col min="9" max="9" width="9.75" bestFit="1" customWidth="1"/>
    <col min="17" max="17" width="8.25" customWidth="1"/>
    <col min="19" max="19" width="9.75" bestFit="1" customWidth="1"/>
  </cols>
  <sheetData>
    <row r="1" spans="1:32" s="4" customFormat="1" ht="23.5" x14ac:dyDescent="0.55000000000000004">
      <c r="A1" s="1" t="s">
        <v>0</v>
      </c>
      <c r="B1" s="1" t="s">
        <v>1</v>
      </c>
      <c r="C1" s="1" t="s">
        <v>2</v>
      </c>
      <c r="D1" s="1" t="s">
        <v>53</v>
      </c>
      <c r="E1" s="1" t="s">
        <v>4</v>
      </c>
      <c r="F1" s="1" t="s">
        <v>5</v>
      </c>
      <c r="G1" s="1" t="s">
        <v>6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3"/>
      <c r="AB1" s="3"/>
      <c r="AC1" s="3"/>
      <c r="AD1" s="3"/>
      <c r="AE1" s="3"/>
      <c r="AF1" s="3"/>
    </row>
    <row r="2" spans="1:32" ht="18" x14ac:dyDescent="0.4">
      <c r="A2" s="5">
        <v>0</v>
      </c>
      <c r="B2" s="5" t="s">
        <v>7</v>
      </c>
      <c r="C2" s="6">
        <v>24</v>
      </c>
      <c r="D2" s="7">
        <v>8.5599999999999996E-2</v>
      </c>
      <c r="E2" s="8">
        <f t="shared" ref="E2:E33" si="0">PMT(D2/12,C2,-dealTotal,G2)</f>
        <v>1655.0425512856143</v>
      </c>
      <c r="F2" s="9">
        <v>0.6</v>
      </c>
      <c r="G2" s="10">
        <f t="shared" ref="G2:G33" si="1">SUM(dealTotal*F2)</f>
        <v>44187</v>
      </c>
      <c r="H2" s="11" t="s">
        <v>54</v>
      </c>
      <c r="I2" s="11"/>
      <c r="J2" s="11" t="s">
        <v>55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10</v>
      </c>
      <c r="V2" s="11"/>
      <c r="W2" s="11"/>
      <c r="X2" s="11"/>
      <c r="Y2" s="11"/>
      <c r="Z2" s="11"/>
      <c r="AA2" s="12"/>
      <c r="AB2" s="12"/>
      <c r="AC2" s="12"/>
      <c r="AD2" s="12"/>
      <c r="AE2" s="12"/>
      <c r="AF2" s="12"/>
    </row>
    <row r="3" spans="1:32" ht="18" x14ac:dyDescent="0.4">
      <c r="A3" s="5">
        <v>0</v>
      </c>
      <c r="B3" s="5" t="s">
        <v>7</v>
      </c>
      <c r="C3" s="6">
        <v>36</v>
      </c>
      <c r="D3" s="7">
        <v>7.7499999999999999E-2</v>
      </c>
      <c r="E3" s="8">
        <f t="shared" si="0"/>
        <v>1296.2703455150709</v>
      </c>
      <c r="F3" s="9">
        <v>0.55000000000000004</v>
      </c>
      <c r="G3" s="10">
        <f t="shared" si="1"/>
        <v>40504.75</v>
      </c>
      <c r="H3" s="11"/>
      <c r="I3" s="11"/>
      <c r="J3" s="11" t="s">
        <v>56</v>
      </c>
      <c r="K3" s="11"/>
      <c r="L3" s="11"/>
      <c r="M3" s="11"/>
      <c r="N3" s="11"/>
      <c r="O3" s="11"/>
      <c r="P3" s="11" t="s">
        <v>11</v>
      </c>
      <c r="Q3" s="11">
        <v>2</v>
      </c>
      <c r="R3" s="11">
        <v>3</v>
      </c>
      <c r="S3" s="11">
        <v>4</v>
      </c>
      <c r="T3" s="11"/>
      <c r="U3" s="11" t="s">
        <v>11</v>
      </c>
      <c r="V3" s="11">
        <v>2</v>
      </c>
      <c r="W3" s="11">
        <v>3</v>
      </c>
      <c r="X3" s="11">
        <v>4</v>
      </c>
      <c r="Y3" s="11"/>
      <c r="Z3" s="11"/>
      <c r="AA3" s="12"/>
      <c r="AB3" s="12"/>
      <c r="AC3" s="12"/>
      <c r="AD3" s="12"/>
      <c r="AE3" s="12"/>
      <c r="AF3" s="12"/>
    </row>
    <row r="4" spans="1:32" ht="18" x14ac:dyDescent="0.4">
      <c r="A4" s="5">
        <v>0</v>
      </c>
      <c r="B4" s="5" t="s">
        <v>7</v>
      </c>
      <c r="C4" s="6">
        <v>48</v>
      </c>
      <c r="D4" s="7">
        <v>7.619999999999999E-2</v>
      </c>
      <c r="E4" s="8">
        <f t="shared" si="0"/>
        <v>1126.2140492729536</v>
      </c>
      <c r="F4" s="9">
        <v>0.5</v>
      </c>
      <c r="G4" s="10">
        <f t="shared" si="1"/>
        <v>36822.5</v>
      </c>
      <c r="H4" s="11"/>
      <c r="I4" s="11" t="s">
        <v>12</v>
      </c>
      <c r="J4" s="23">
        <v>7.3099999999999998E-2</v>
      </c>
      <c r="K4" s="23">
        <f t="shared" ref="K4:K9" si="2">SUM(J4,$S$28)</f>
        <v>7.5600000000000001E-2</v>
      </c>
      <c r="L4" s="11"/>
      <c r="M4" s="23"/>
      <c r="N4" s="23"/>
      <c r="O4" s="11"/>
      <c r="P4" s="24">
        <f>SUM($K$4,N13)</f>
        <v>8.5599999999999996E-2</v>
      </c>
      <c r="Q4" s="24">
        <f>SUM($K$4,O13)</f>
        <v>9.5600000000000004E-2</v>
      </c>
      <c r="R4" s="24">
        <f>SUM($K$4,P13)</f>
        <v>0.1056</v>
      </c>
      <c r="S4" s="24">
        <f>SUM($K$4,Q13)</f>
        <v>0.11560000000000001</v>
      </c>
      <c r="T4" s="11"/>
      <c r="U4" s="24">
        <v>8.5599999999999996E-2</v>
      </c>
      <c r="V4" s="24">
        <v>9.5600000000000004E-2</v>
      </c>
      <c r="W4" s="24">
        <v>0.1056</v>
      </c>
      <c r="X4" s="24">
        <v>0.11560000000000001</v>
      </c>
      <c r="Y4" s="11"/>
      <c r="Z4" s="11"/>
      <c r="AA4" s="12"/>
      <c r="AB4" s="12"/>
      <c r="AC4" s="12"/>
      <c r="AD4" s="12"/>
      <c r="AE4" s="12"/>
      <c r="AF4" s="12"/>
    </row>
    <row r="5" spans="1:32" ht="18" x14ac:dyDescent="0.4">
      <c r="A5" s="5">
        <v>0</v>
      </c>
      <c r="B5" s="5" t="s">
        <v>7</v>
      </c>
      <c r="C5" s="6">
        <v>60</v>
      </c>
      <c r="D5" s="7">
        <v>7.22E-2</v>
      </c>
      <c r="E5" s="8">
        <f t="shared" si="0"/>
        <v>1056.7882448615076</v>
      </c>
      <c r="F5" s="9">
        <v>0.4</v>
      </c>
      <c r="G5" s="10">
        <f t="shared" si="1"/>
        <v>29458</v>
      </c>
      <c r="H5" s="11"/>
      <c r="I5" s="11" t="s">
        <v>13</v>
      </c>
      <c r="J5" s="23">
        <v>6.83E-2</v>
      </c>
      <c r="K5" s="23">
        <f t="shared" si="2"/>
        <v>7.0800000000000002E-2</v>
      </c>
      <c r="L5" s="11"/>
      <c r="M5" s="23"/>
      <c r="N5" s="23"/>
      <c r="O5" s="11"/>
      <c r="P5" s="24">
        <f>SUM($K$5,N14)</f>
        <v>7.7499999999999999E-2</v>
      </c>
      <c r="Q5" s="24">
        <f>SUM($K$5,O14)</f>
        <v>8.4199999999999997E-2</v>
      </c>
      <c r="R5" s="24">
        <f>SUM($K$5,P14)</f>
        <v>9.0900000000000009E-2</v>
      </c>
      <c r="S5" s="24">
        <f>SUM($K$5,Q14)</f>
        <v>9.7600000000000006E-2</v>
      </c>
      <c r="T5" s="11"/>
      <c r="U5" s="24">
        <v>7.7499999999999999E-2</v>
      </c>
      <c r="V5" s="24">
        <v>8.4199999999999997E-2</v>
      </c>
      <c r="W5" s="24">
        <v>9.0900000000000009E-2</v>
      </c>
      <c r="X5" s="24">
        <v>9.7600000000000006E-2</v>
      </c>
      <c r="Y5" s="11"/>
      <c r="Z5" s="11"/>
      <c r="AA5" s="12"/>
      <c r="AB5" s="12"/>
      <c r="AC5" s="12"/>
      <c r="AD5" s="12"/>
      <c r="AE5" s="12"/>
      <c r="AF5" s="12"/>
    </row>
    <row r="6" spans="1:32" ht="18" x14ac:dyDescent="0.4">
      <c r="A6" s="5">
        <v>0</v>
      </c>
      <c r="B6" s="5" t="s">
        <v>7</v>
      </c>
      <c r="C6" s="6">
        <v>72</v>
      </c>
      <c r="D6" s="7">
        <v>7.1900000000000006E-2</v>
      </c>
      <c r="E6" s="8">
        <f t="shared" si="0"/>
        <v>974.93722107358076</v>
      </c>
      <c r="F6" s="9">
        <v>0.35</v>
      </c>
      <c r="G6" s="10">
        <f t="shared" si="1"/>
        <v>25775.75</v>
      </c>
      <c r="H6" s="11"/>
      <c r="I6" s="11" t="s">
        <v>14</v>
      </c>
      <c r="J6" s="23">
        <v>6.8599999999999994E-2</v>
      </c>
      <c r="K6" s="23">
        <f t="shared" si="2"/>
        <v>7.1099999999999997E-2</v>
      </c>
      <c r="L6" s="11"/>
      <c r="M6" s="23"/>
      <c r="N6" s="23"/>
      <c r="O6" s="11"/>
      <c r="P6" s="24">
        <f>SUM($K$6,N15)</f>
        <v>7.619999999999999E-2</v>
      </c>
      <c r="Q6" s="24">
        <f>SUM($K$6,O15)</f>
        <v>8.1299999999999997E-2</v>
      </c>
      <c r="R6" s="24">
        <f>SUM($K$6,P15)</f>
        <v>8.6400000000000005E-2</v>
      </c>
      <c r="S6" s="24">
        <f>SUM($K$6,Q15)</f>
        <v>9.1499999999999998E-2</v>
      </c>
      <c r="T6" s="11"/>
      <c r="U6" s="24">
        <v>7.619999999999999E-2</v>
      </c>
      <c r="V6" s="24">
        <v>8.1299999999999997E-2</v>
      </c>
      <c r="W6" s="24">
        <v>8.6400000000000005E-2</v>
      </c>
      <c r="X6" s="24">
        <v>9.1499999999999998E-2</v>
      </c>
      <c r="Y6" s="11"/>
      <c r="Z6" s="11"/>
      <c r="AA6" s="12"/>
      <c r="AB6" s="12"/>
      <c r="AC6" s="12"/>
      <c r="AD6" s="12"/>
      <c r="AE6" s="12"/>
      <c r="AF6" s="12"/>
    </row>
    <row r="7" spans="1:32" ht="18" x14ac:dyDescent="0.4">
      <c r="A7" s="5">
        <v>0</v>
      </c>
      <c r="B7" s="5" t="s">
        <v>7</v>
      </c>
      <c r="C7" s="6">
        <v>84</v>
      </c>
      <c r="D7" s="7">
        <v>6.88E-2</v>
      </c>
      <c r="E7" s="8">
        <f t="shared" si="0"/>
        <v>901.69911795642247</v>
      </c>
      <c r="F7" s="9">
        <v>0.3</v>
      </c>
      <c r="G7" s="10">
        <f t="shared" si="1"/>
        <v>22093.5</v>
      </c>
      <c r="H7" s="11"/>
      <c r="I7" s="11" t="s">
        <v>15</v>
      </c>
      <c r="J7" s="23">
        <v>6.6199999999999995E-2</v>
      </c>
      <c r="K7" s="23">
        <f t="shared" si="2"/>
        <v>6.8699999999999997E-2</v>
      </c>
      <c r="L7" s="11"/>
      <c r="M7" s="23"/>
      <c r="N7" s="23"/>
      <c r="O7" s="11"/>
      <c r="P7" s="24">
        <f>SUM($K$7,N17)</f>
        <v>7.22E-2</v>
      </c>
      <c r="Q7" s="24">
        <f>SUM($K$7,O17)</f>
        <v>7.5700000000000003E-2</v>
      </c>
      <c r="R7" s="24">
        <f>SUM($K$7,P17)</f>
        <v>7.9199999999999993E-2</v>
      </c>
      <c r="S7" s="24">
        <f>SUM($K$7,Q17)</f>
        <v>8.2699999999999996E-2</v>
      </c>
      <c r="T7" s="11"/>
      <c r="U7" s="24">
        <v>7.22E-2</v>
      </c>
      <c r="V7" s="24">
        <v>7.5700000000000003E-2</v>
      </c>
      <c r="W7" s="24">
        <v>7.9199999999999993E-2</v>
      </c>
      <c r="X7" s="24">
        <v>8.2699999999999996E-2</v>
      </c>
      <c r="Y7" s="11"/>
      <c r="Z7" s="11"/>
      <c r="AA7" s="12"/>
      <c r="AB7" s="12"/>
      <c r="AC7" s="12"/>
      <c r="AD7" s="12"/>
      <c r="AE7" s="12"/>
      <c r="AF7" s="12"/>
    </row>
    <row r="8" spans="1:32" ht="18" x14ac:dyDescent="0.4">
      <c r="A8" s="5">
        <v>1</v>
      </c>
      <c r="B8" s="5" t="s">
        <v>7</v>
      </c>
      <c r="C8" s="6">
        <v>24</v>
      </c>
      <c r="D8" s="7">
        <v>8.5599999999999996E-2</v>
      </c>
      <c r="E8" s="8">
        <f t="shared" si="0"/>
        <v>1655.0425512856143</v>
      </c>
      <c r="F8" s="9">
        <v>0.6</v>
      </c>
      <c r="G8" s="10">
        <f t="shared" si="1"/>
        <v>44187</v>
      </c>
      <c r="H8" s="11"/>
      <c r="I8" s="11" t="s">
        <v>16</v>
      </c>
      <c r="J8" s="23">
        <v>6.6299999999999998E-2</v>
      </c>
      <c r="K8" s="23">
        <f t="shared" si="2"/>
        <v>6.88E-2</v>
      </c>
      <c r="L8" s="11"/>
      <c r="M8" s="23"/>
      <c r="N8" s="23"/>
      <c r="O8" s="11"/>
      <c r="P8" s="24">
        <f>SUM($K$8,N18)</f>
        <v>7.1900000000000006E-2</v>
      </c>
      <c r="Q8" s="24">
        <f>SUM($K$8,O18)</f>
        <v>7.4999999999999997E-2</v>
      </c>
      <c r="R8" s="24">
        <f>SUM($K$8,P18)</f>
        <v>7.8100000000000003E-2</v>
      </c>
      <c r="S8" s="24">
        <f>SUM($K$8,Q18)</f>
        <v>8.1199999999999994E-2</v>
      </c>
      <c r="T8" s="11"/>
      <c r="U8" s="24">
        <v>7.1900000000000006E-2</v>
      </c>
      <c r="V8" s="24">
        <v>7.4999999999999997E-2</v>
      </c>
      <c r="W8" s="24">
        <v>7.8100000000000003E-2</v>
      </c>
      <c r="X8" s="24">
        <v>8.1199999999999994E-2</v>
      </c>
      <c r="Y8" s="11"/>
      <c r="Z8" s="11"/>
      <c r="AA8" s="12"/>
      <c r="AB8" s="12"/>
      <c r="AC8" s="12"/>
      <c r="AD8" s="12"/>
      <c r="AE8" s="12"/>
      <c r="AF8" s="12"/>
    </row>
    <row r="9" spans="1:32" ht="18" x14ac:dyDescent="0.4">
      <c r="A9" s="5">
        <v>1</v>
      </c>
      <c r="B9" s="5" t="s">
        <v>7</v>
      </c>
      <c r="C9" s="6">
        <v>36</v>
      </c>
      <c r="D9" s="7">
        <v>7.7499999999999999E-2</v>
      </c>
      <c r="E9" s="8">
        <f t="shared" si="0"/>
        <v>1296.2703455150709</v>
      </c>
      <c r="F9" s="9">
        <v>0.55000000000000004</v>
      </c>
      <c r="G9" s="10">
        <f t="shared" si="1"/>
        <v>40504.75</v>
      </c>
      <c r="H9" s="11"/>
      <c r="I9" s="11" t="s">
        <v>17</v>
      </c>
      <c r="J9" s="23">
        <v>6.6299999999999998E-2</v>
      </c>
      <c r="K9" s="23">
        <f t="shared" si="2"/>
        <v>6.88E-2</v>
      </c>
      <c r="L9" s="11"/>
      <c r="M9" s="23"/>
      <c r="N9" s="23"/>
      <c r="O9" s="11"/>
      <c r="P9" s="24">
        <f>SUM($K$9,N19)</f>
        <v>6.88E-2</v>
      </c>
      <c r="Q9" s="24">
        <f>SUM($K$9,O19)</f>
        <v>6.88E-2</v>
      </c>
      <c r="R9" s="24">
        <f>SUM($K$9,P19)</f>
        <v>6.88E-2</v>
      </c>
      <c r="S9" s="24">
        <f>SUM($K$9,Q19)</f>
        <v>6.88E-2</v>
      </c>
      <c r="T9" s="11"/>
      <c r="U9" s="24">
        <v>6.88E-2</v>
      </c>
      <c r="V9" s="24">
        <v>6.88E-2</v>
      </c>
      <c r="W9" s="24">
        <v>6.88E-2</v>
      </c>
      <c r="X9" s="24">
        <v>6.88E-2</v>
      </c>
      <c r="Y9" s="11"/>
      <c r="Z9" s="11"/>
      <c r="AA9" s="12"/>
      <c r="AB9" s="12"/>
      <c r="AC9" s="12"/>
      <c r="AD9" s="12"/>
      <c r="AE9" s="12"/>
      <c r="AF9" s="12"/>
    </row>
    <row r="10" spans="1:32" ht="18" x14ac:dyDescent="0.4">
      <c r="A10" s="5">
        <v>1</v>
      </c>
      <c r="B10" s="5" t="s">
        <v>7</v>
      </c>
      <c r="C10" s="6">
        <v>48</v>
      </c>
      <c r="D10" s="7">
        <v>7.619999999999999E-2</v>
      </c>
      <c r="E10" s="8">
        <f t="shared" si="0"/>
        <v>1126.2140492729536</v>
      </c>
      <c r="F10" s="9">
        <v>0.5</v>
      </c>
      <c r="G10" s="10">
        <f t="shared" si="1"/>
        <v>36822.5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2"/>
      <c r="AC10" s="12"/>
      <c r="AD10" s="12"/>
      <c r="AE10" s="12"/>
      <c r="AF10" s="12"/>
    </row>
    <row r="11" spans="1:32" ht="18" x14ac:dyDescent="0.4">
      <c r="A11" s="5">
        <v>1</v>
      </c>
      <c r="B11" s="5" t="s">
        <v>7</v>
      </c>
      <c r="C11" s="6">
        <v>60</v>
      </c>
      <c r="D11" s="7">
        <v>7.22E-2</v>
      </c>
      <c r="E11" s="8">
        <f t="shared" si="0"/>
        <v>1056.7882448615076</v>
      </c>
      <c r="F11" s="9">
        <v>0.4</v>
      </c>
      <c r="G11" s="10">
        <f t="shared" si="1"/>
        <v>29458</v>
      </c>
      <c r="H11" s="11"/>
      <c r="I11" s="11"/>
      <c r="J11" s="11"/>
      <c r="K11" s="11"/>
      <c r="L11" s="11"/>
      <c r="M11" s="11" t="s">
        <v>43</v>
      </c>
      <c r="N11" s="11">
        <v>1</v>
      </c>
      <c r="O11" s="11">
        <v>2</v>
      </c>
      <c r="P11" s="11">
        <v>3</v>
      </c>
      <c r="Q11" s="11">
        <v>4</v>
      </c>
      <c r="R11" s="11"/>
      <c r="S11" s="11"/>
      <c r="T11" s="11"/>
      <c r="U11" s="11" t="s">
        <v>10</v>
      </c>
      <c r="V11" s="11"/>
      <c r="W11" s="11"/>
      <c r="X11" s="11"/>
      <c r="Y11" s="11"/>
      <c r="Z11" s="11"/>
      <c r="AD11" s="12"/>
      <c r="AE11" s="12"/>
      <c r="AF11" s="12"/>
    </row>
    <row r="12" spans="1:32" ht="18" x14ac:dyDescent="0.4">
      <c r="A12" s="5">
        <v>1</v>
      </c>
      <c r="B12" s="5" t="s">
        <v>7</v>
      </c>
      <c r="C12" s="6">
        <v>72</v>
      </c>
      <c r="D12" s="7">
        <v>7.1900000000000006E-2</v>
      </c>
      <c r="E12" s="8">
        <f t="shared" si="0"/>
        <v>974.93722107358076</v>
      </c>
      <c r="F12" s="9">
        <v>0.35</v>
      </c>
      <c r="G12" s="10">
        <f t="shared" si="1"/>
        <v>25775.75</v>
      </c>
      <c r="H12" s="11"/>
      <c r="I12" s="29" t="s">
        <v>44</v>
      </c>
      <c r="J12" s="29"/>
      <c r="K12" s="29"/>
      <c r="L12" s="29"/>
      <c r="M12" s="29"/>
      <c r="N12" s="29"/>
      <c r="O12" s="29"/>
      <c r="P12" s="29"/>
      <c r="Q12" s="29"/>
      <c r="R12" s="11"/>
      <c r="S12" s="11"/>
      <c r="T12" s="11"/>
      <c r="U12" s="11" t="s">
        <v>11</v>
      </c>
      <c r="V12" s="11">
        <v>2</v>
      </c>
      <c r="W12" s="11">
        <v>3</v>
      </c>
      <c r="X12" s="11">
        <v>4</v>
      </c>
      <c r="Y12" s="11"/>
      <c r="Z12" s="11"/>
      <c r="AD12" s="12"/>
      <c r="AE12" s="12"/>
      <c r="AF12" s="12"/>
    </row>
    <row r="13" spans="1:32" ht="18" x14ac:dyDescent="0.4">
      <c r="A13" s="5">
        <v>1</v>
      </c>
      <c r="B13" s="5" t="s">
        <v>7</v>
      </c>
      <c r="C13" s="6">
        <v>84</v>
      </c>
      <c r="D13" s="7">
        <v>6.88E-2</v>
      </c>
      <c r="E13" s="8">
        <f t="shared" si="0"/>
        <v>901.69911795642247</v>
      </c>
      <c r="F13" s="9">
        <v>0.3</v>
      </c>
      <c r="G13" s="10">
        <f t="shared" si="1"/>
        <v>22093.5</v>
      </c>
      <c r="H13" s="11"/>
      <c r="I13" s="25" t="s">
        <v>45</v>
      </c>
      <c r="J13" s="11"/>
      <c r="K13" s="11"/>
      <c r="L13" s="26">
        <v>0.01</v>
      </c>
      <c r="M13" s="11"/>
      <c r="N13" s="26">
        <v>0.01</v>
      </c>
      <c r="O13" s="26">
        <v>0.02</v>
      </c>
      <c r="P13" s="26">
        <v>0.03</v>
      </c>
      <c r="Q13" s="26">
        <v>0.04</v>
      </c>
      <c r="R13" s="11"/>
      <c r="S13" s="11"/>
      <c r="T13" s="11"/>
      <c r="U13" s="24">
        <v>9.2999999999999999E-2</v>
      </c>
      <c r="V13" s="24">
        <v>0.10300000000000001</v>
      </c>
      <c r="W13" s="24">
        <v>0.113</v>
      </c>
      <c r="X13" s="24">
        <v>0.123</v>
      </c>
      <c r="Y13" s="11"/>
      <c r="Z13" s="24"/>
      <c r="AA13" s="14"/>
      <c r="AB13" s="14"/>
      <c r="AC13" s="14"/>
      <c r="AD13" s="12"/>
      <c r="AE13" s="12"/>
      <c r="AF13" s="12"/>
    </row>
    <row r="14" spans="1:32" ht="18" x14ac:dyDescent="0.4">
      <c r="A14" s="5">
        <v>2</v>
      </c>
      <c r="B14" s="5" t="s">
        <v>7</v>
      </c>
      <c r="C14" s="6">
        <v>24</v>
      </c>
      <c r="D14" s="7">
        <v>9.5600000000000004E-2</v>
      </c>
      <c r="E14" s="8">
        <f t="shared" si="0"/>
        <v>1705.385745767968</v>
      </c>
      <c r="F14" s="9">
        <v>0.6</v>
      </c>
      <c r="G14" s="10">
        <f t="shared" si="1"/>
        <v>44187</v>
      </c>
      <c r="H14" s="11"/>
      <c r="I14" s="25" t="s">
        <v>46</v>
      </c>
      <c r="J14" s="11"/>
      <c r="K14" s="11"/>
      <c r="L14" s="23">
        <v>6.7000000000000002E-3</v>
      </c>
      <c r="M14" s="11"/>
      <c r="N14" s="23">
        <f>$L$14*N$11</f>
        <v>6.7000000000000002E-3</v>
      </c>
      <c r="O14" s="23">
        <f>$L$14*O$11</f>
        <v>1.34E-2</v>
      </c>
      <c r="P14" s="23">
        <f>$L$14*P$11</f>
        <v>2.01E-2</v>
      </c>
      <c r="Q14" s="23">
        <f>$L$14*Q$11</f>
        <v>2.6800000000000001E-2</v>
      </c>
      <c r="R14" s="11"/>
      <c r="S14" s="11"/>
      <c r="T14" s="11"/>
      <c r="U14" s="24">
        <v>8.8700000000000001E-2</v>
      </c>
      <c r="V14" s="24">
        <v>9.5399999999999999E-2</v>
      </c>
      <c r="W14" s="24">
        <v>0.1021</v>
      </c>
      <c r="X14" s="24">
        <v>0.10880000000000001</v>
      </c>
      <c r="Y14" s="11"/>
      <c r="Z14" s="24"/>
      <c r="AA14" s="14"/>
      <c r="AB14" s="14"/>
      <c r="AC14" s="14"/>
      <c r="AD14" s="12"/>
      <c r="AE14" s="12"/>
      <c r="AF14" s="12"/>
    </row>
    <row r="15" spans="1:32" ht="18" x14ac:dyDescent="0.4">
      <c r="A15" s="5">
        <v>2</v>
      </c>
      <c r="B15" s="5" t="s">
        <v>7</v>
      </c>
      <c r="C15" s="6">
        <v>36</v>
      </c>
      <c r="D15" s="7">
        <v>8.4199999999999997E-2</v>
      </c>
      <c r="E15" s="8">
        <f t="shared" si="0"/>
        <v>1329.1363557402995</v>
      </c>
      <c r="F15" s="9">
        <v>0.55000000000000004</v>
      </c>
      <c r="G15" s="10">
        <f t="shared" si="1"/>
        <v>40504.75</v>
      </c>
      <c r="H15" s="11"/>
      <c r="I15" s="25" t="s">
        <v>47</v>
      </c>
      <c r="J15" s="11"/>
      <c r="K15" s="11"/>
      <c r="L15" s="23">
        <v>5.1000000000000004E-3</v>
      </c>
      <c r="M15" s="11"/>
      <c r="N15" s="23">
        <f>$L$15*N$11</f>
        <v>5.1000000000000004E-3</v>
      </c>
      <c r="O15" s="23">
        <f>$L$15*O$11</f>
        <v>1.0200000000000001E-2</v>
      </c>
      <c r="P15" s="23">
        <f>$L$15*P$11</f>
        <v>1.5300000000000001E-2</v>
      </c>
      <c r="Q15" s="23">
        <f>$L$15*Q$11</f>
        <v>2.0400000000000001E-2</v>
      </c>
      <c r="R15" s="11"/>
      <c r="S15" s="11"/>
      <c r="T15" s="11"/>
      <c r="U15" s="24">
        <v>8.3600000000000008E-2</v>
      </c>
      <c r="V15" s="24">
        <v>8.8700000000000001E-2</v>
      </c>
      <c r="W15" s="24">
        <v>9.3799999999999994E-2</v>
      </c>
      <c r="X15" s="24">
        <v>9.8900000000000002E-2</v>
      </c>
      <c r="Y15" s="11"/>
      <c r="Z15" s="24"/>
      <c r="AA15" s="14"/>
      <c r="AB15" s="14"/>
      <c r="AC15" s="14"/>
      <c r="AD15" s="12"/>
      <c r="AE15" s="12"/>
      <c r="AF15" s="12"/>
    </row>
    <row r="16" spans="1:32" ht="18" x14ac:dyDescent="0.4">
      <c r="A16" s="5">
        <v>2</v>
      </c>
      <c r="B16" s="5" t="s">
        <v>7</v>
      </c>
      <c r="C16" s="6">
        <v>48</v>
      </c>
      <c r="D16" s="7">
        <v>8.1299999999999997E-2</v>
      </c>
      <c r="E16" s="8">
        <f t="shared" si="0"/>
        <v>1150.6659570646841</v>
      </c>
      <c r="F16" s="9">
        <v>0.5</v>
      </c>
      <c r="G16" s="10">
        <f t="shared" si="1"/>
        <v>36822.5</v>
      </c>
      <c r="H16" s="11"/>
      <c r="I16" s="25" t="s">
        <v>48</v>
      </c>
      <c r="J16" s="11"/>
      <c r="K16" s="11"/>
      <c r="L16" s="23">
        <v>4.1999999999999997E-3</v>
      </c>
      <c r="M16" s="11"/>
      <c r="N16" s="23">
        <f>$L$16*N$11</f>
        <v>4.1999999999999997E-3</v>
      </c>
      <c r="O16" s="23">
        <f>$L$16*O$11</f>
        <v>8.3999999999999995E-3</v>
      </c>
      <c r="P16" s="23">
        <f>$L$16*P$11</f>
        <v>1.26E-2</v>
      </c>
      <c r="Q16" s="23">
        <f>$L$16*Q$11</f>
        <v>1.6799999999999999E-2</v>
      </c>
      <c r="R16" s="11"/>
      <c r="S16" s="11"/>
      <c r="T16" s="11"/>
      <c r="U16" s="24">
        <v>7.9199999999999993E-2</v>
      </c>
      <c r="V16" s="24">
        <v>8.3400000000000002E-2</v>
      </c>
      <c r="W16" s="24">
        <v>8.7599999999999997E-2</v>
      </c>
      <c r="X16" s="24">
        <v>9.1799999999999993E-2</v>
      </c>
      <c r="Y16" s="11"/>
      <c r="Z16" s="24"/>
      <c r="AA16" s="14"/>
      <c r="AB16" s="14"/>
      <c r="AC16" s="14"/>
      <c r="AD16" s="12"/>
      <c r="AE16" s="12"/>
      <c r="AF16" s="12"/>
    </row>
    <row r="17" spans="1:32" ht="18" x14ac:dyDescent="0.4">
      <c r="A17" s="5">
        <v>2</v>
      </c>
      <c r="B17" s="5" t="s">
        <v>7</v>
      </c>
      <c r="C17" s="6">
        <v>60</v>
      </c>
      <c r="D17" s="7">
        <v>7.5700000000000003E-2</v>
      </c>
      <c r="E17" s="8">
        <f t="shared" si="0"/>
        <v>1072.7182796574666</v>
      </c>
      <c r="F17" s="9">
        <v>0.4</v>
      </c>
      <c r="G17" s="10">
        <f t="shared" si="1"/>
        <v>29458</v>
      </c>
      <c r="H17" s="11"/>
      <c r="I17" s="25" t="s">
        <v>49</v>
      </c>
      <c r="J17" s="11"/>
      <c r="K17" s="11"/>
      <c r="L17" s="23">
        <v>3.5000000000000001E-3</v>
      </c>
      <c r="M17" s="11"/>
      <c r="N17" s="23">
        <f>$L$17*N$11</f>
        <v>3.5000000000000001E-3</v>
      </c>
      <c r="O17" s="23">
        <f>$L$17*O$11</f>
        <v>7.0000000000000001E-3</v>
      </c>
      <c r="P17" s="23">
        <f>$L$17*P$11</f>
        <v>1.0500000000000001E-2</v>
      </c>
      <c r="Q17" s="23">
        <f>$L$17*Q$11</f>
        <v>1.4E-2</v>
      </c>
      <c r="R17" s="11"/>
      <c r="S17" s="11"/>
      <c r="T17" s="11"/>
      <c r="U17" s="24">
        <v>7.6499999999999999E-2</v>
      </c>
      <c r="V17" s="24">
        <v>0.08</v>
      </c>
      <c r="W17" s="24">
        <v>8.3499999999999991E-2</v>
      </c>
      <c r="X17" s="24">
        <v>8.6999999999999994E-2</v>
      </c>
      <c r="Y17" s="11"/>
      <c r="Z17" s="24"/>
      <c r="AA17" s="14"/>
      <c r="AB17" s="14"/>
      <c r="AC17" s="14"/>
      <c r="AD17" s="12"/>
      <c r="AE17" s="12"/>
      <c r="AF17" s="12"/>
    </row>
    <row r="18" spans="1:32" ht="18" x14ac:dyDescent="0.4">
      <c r="A18" s="5">
        <v>2</v>
      </c>
      <c r="B18" s="5" t="s">
        <v>7</v>
      </c>
      <c r="C18" s="6">
        <v>72</v>
      </c>
      <c r="D18" s="7">
        <v>7.4999999999999997E-2</v>
      </c>
      <c r="E18" s="8">
        <f t="shared" si="0"/>
        <v>988.76314544412514</v>
      </c>
      <c r="F18" s="9">
        <v>0.35</v>
      </c>
      <c r="G18" s="10">
        <f t="shared" si="1"/>
        <v>25775.75</v>
      </c>
      <c r="H18" s="11"/>
      <c r="I18" s="25" t="s">
        <v>50</v>
      </c>
      <c r="J18" s="11"/>
      <c r="K18" s="11"/>
      <c r="L18" s="23">
        <v>3.0999999999999999E-3</v>
      </c>
      <c r="M18" s="11"/>
      <c r="N18" s="23">
        <f>$L$18*N$11</f>
        <v>3.0999999999999999E-3</v>
      </c>
      <c r="O18" s="23">
        <f>$L$18*O$11</f>
        <v>6.1999999999999998E-3</v>
      </c>
      <c r="P18" s="23">
        <f>$L$18*P$11</f>
        <v>9.2999999999999992E-3</v>
      </c>
      <c r="Q18" s="23">
        <f>$L$18*Q$11</f>
        <v>1.24E-2</v>
      </c>
      <c r="R18" s="11"/>
      <c r="S18" s="11"/>
      <c r="T18" s="11"/>
      <c r="U18" s="24">
        <v>7.6100000000000001E-2</v>
      </c>
      <c r="V18" s="24">
        <v>7.9199999999999993E-2</v>
      </c>
      <c r="W18" s="24">
        <v>8.2299999999999998E-2</v>
      </c>
      <c r="X18" s="24">
        <v>8.539999999999999E-2</v>
      </c>
      <c r="Y18" s="11"/>
      <c r="Z18" s="24"/>
      <c r="AA18" s="14"/>
      <c r="AB18" s="14"/>
      <c r="AC18" s="14"/>
      <c r="AD18" s="12"/>
      <c r="AE18" s="12"/>
      <c r="AF18" s="12"/>
    </row>
    <row r="19" spans="1:32" ht="18" x14ac:dyDescent="0.4">
      <c r="A19" s="5">
        <v>2</v>
      </c>
      <c r="B19" s="5" t="s">
        <v>7</v>
      </c>
      <c r="C19" s="6">
        <v>84</v>
      </c>
      <c r="D19" s="7">
        <v>6.88E-2</v>
      </c>
      <c r="E19" s="8">
        <f t="shared" si="0"/>
        <v>901.69911795642247</v>
      </c>
      <c r="F19" s="9">
        <v>0.3</v>
      </c>
      <c r="G19" s="10">
        <f t="shared" si="1"/>
        <v>22093.5</v>
      </c>
      <c r="H19" s="11"/>
      <c r="I19" s="11"/>
      <c r="J19" s="27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2"/>
      <c r="AC19" s="12"/>
      <c r="AD19" s="12"/>
      <c r="AE19" s="12"/>
      <c r="AF19" s="12"/>
    </row>
    <row r="20" spans="1:32" ht="18" x14ac:dyDescent="0.4">
      <c r="A20" s="5">
        <v>3</v>
      </c>
      <c r="B20" s="5" t="s">
        <v>7</v>
      </c>
      <c r="C20" s="6">
        <v>24</v>
      </c>
      <c r="D20" s="7">
        <v>0.1056</v>
      </c>
      <c r="E20" s="8">
        <f t="shared" si="0"/>
        <v>1755.8093669668781</v>
      </c>
      <c r="F20" s="9">
        <v>0.6</v>
      </c>
      <c r="G20" s="10">
        <f t="shared" si="1"/>
        <v>44187</v>
      </c>
      <c r="H20" s="11"/>
      <c r="I20" s="11"/>
      <c r="J20" s="27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2"/>
      <c r="AC20" s="12"/>
      <c r="AD20" s="12"/>
      <c r="AE20" s="12"/>
      <c r="AF20" s="12"/>
    </row>
    <row r="21" spans="1:32" ht="18" x14ac:dyDescent="0.4">
      <c r="A21" s="5">
        <v>3</v>
      </c>
      <c r="B21" s="5" t="s">
        <v>7</v>
      </c>
      <c r="C21" s="6">
        <v>36</v>
      </c>
      <c r="D21" s="7">
        <v>9.0900000000000009E-2</v>
      </c>
      <c r="E21" s="8">
        <f t="shared" si="0"/>
        <v>1362.0632707802213</v>
      </c>
      <c r="F21" s="9">
        <v>0.55000000000000004</v>
      </c>
      <c r="G21" s="10">
        <f t="shared" si="1"/>
        <v>40504.75</v>
      </c>
      <c r="H21" s="11"/>
      <c r="I21" s="11"/>
      <c r="J21" s="27"/>
      <c r="K21" s="11"/>
      <c r="L21" s="11"/>
      <c r="M21" s="11"/>
      <c r="N21" s="11"/>
      <c r="O21" s="11"/>
      <c r="P21" s="11"/>
      <c r="Q21" s="27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2"/>
      <c r="AC21" s="12"/>
      <c r="AD21" s="12"/>
      <c r="AE21" s="12"/>
      <c r="AF21" s="12"/>
    </row>
    <row r="22" spans="1:32" ht="18" x14ac:dyDescent="0.4">
      <c r="A22" s="5">
        <v>3</v>
      </c>
      <c r="B22" s="5" t="s">
        <v>7</v>
      </c>
      <c r="C22" s="6">
        <v>48</v>
      </c>
      <c r="D22" s="7">
        <v>8.6400000000000005E-2</v>
      </c>
      <c r="E22" s="8">
        <f t="shared" si="0"/>
        <v>1175.1699644400505</v>
      </c>
      <c r="F22" s="9">
        <v>0.5</v>
      </c>
      <c r="G22" s="10">
        <f t="shared" si="1"/>
        <v>36822.5</v>
      </c>
      <c r="H22" s="11"/>
      <c r="I22" s="11"/>
      <c r="J22" s="27"/>
      <c r="K22" s="11"/>
      <c r="L22" s="11"/>
      <c r="M22" s="11"/>
      <c r="N22" s="11"/>
      <c r="O22" s="11"/>
      <c r="P22" s="11"/>
      <c r="Q22" s="27" t="s">
        <v>23</v>
      </c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2"/>
      <c r="AC22" s="12"/>
      <c r="AD22" s="12"/>
      <c r="AE22" s="12"/>
      <c r="AF22" s="12"/>
    </row>
    <row r="23" spans="1:32" ht="18" x14ac:dyDescent="0.4">
      <c r="A23" s="5">
        <v>3</v>
      </c>
      <c r="B23" s="5" t="s">
        <v>7</v>
      </c>
      <c r="C23" s="6">
        <v>60</v>
      </c>
      <c r="D23" s="7">
        <v>7.9199999999999993E-2</v>
      </c>
      <c r="E23" s="8">
        <f t="shared" si="0"/>
        <v>1088.6850151940623</v>
      </c>
      <c r="F23" s="9">
        <v>0.4</v>
      </c>
      <c r="G23" s="10">
        <f t="shared" si="1"/>
        <v>29458</v>
      </c>
      <c r="H23" s="11"/>
      <c r="I23" s="11"/>
      <c r="J23" s="27"/>
      <c r="K23" s="11"/>
      <c r="L23" s="11"/>
      <c r="M23" s="11"/>
      <c r="N23" s="11"/>
      <c r="O23" s="11"/>
      <c r="P23" s="11"/>
      <c r="Q23" s="27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2"/>
      <c r="AC23" s="12"/>
      <c r="AD23" s="12"/>
      <c r="AE23" s="12"/>
      <c r="AF23" s="12"/>
    </row>
    <row r="24" spans="1:32" ht="18" x14ac:dyDescent="0.4">
      <c r="A24" s="5">
        <v>3</v>
      </c>
      <c r="B24" s="5" t="s">
        <v>7</v>
      </c>
      <c r="C24" s="6">
        <v>72</v>
      </c>
      <c r="D24" s="7">
        <v>7.8100000000000003E-2</v>
      </c>
      <c r="E24" s="8">
        <f t="shared" si="0"/>
        <v>1002.6262859412795</v>
      </c>
      <c r="F24" s="9">
        <v>0.35</v>
      </c>
      <c r="G24" s="10">
        <f t="shared" si="1"/>
        <v>25775.75</v>
      </c>
      <c r="H24" s="11"/>
      <c r="I24" s="11"/>
      <c r="J24" s="27"/>
      <c r="K24" s="11"/>
      <c r="L24" s="11"/>
      <c r="M24" s="11"/>
      <c r="N24" s="11"/>
      <c r="O24" s="11"/>
      <c r="P24" s="11"/>
      <c r="Q24" s="27" t="s">
        <v>30</v>
      </c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2"/>
      <c r="AC24" s="12"/>
      <c r="AD24" s="12"/>
      <c r="AE24" s="12"/>
      <c r="AF24" s="12"/>
    </row>
    <row r="25" spans="1:32" ht="18" x14ac:dyDescent="0.4">
      <c r="A25" s="5">
        <v>3</v>
      </c>
      <c r="B25" s="5" t="s">
        <v>7</v>
      </c>
      <c r="C25" s="6">
        <v>84</v>
      </c>
      <c r="D25" s="7">
        <v>6.88E-2</v>
      </c>
      <c r="E25" s="8">
        <f t="shared" si="0"/>
        <v>901.69911795642247</v>
      </c>
      <c r="F25" s="9">
        <v>0.3</v>
      </c>
      <c r="G25" s="10">
        <f t="shared" si="1"/>
        <v>22093.5</v>
      </c>
      <c r="H25" s="11"/>
      <c r="I25" s="11"/>
      <c r="J25" s="11"/>
      <c r="K25" s="11"/>
      <c r="L25" s="11"/>
      <c r="M25" s="11"/>
      <c r="N25" s="11"/>
      <c r="O25" s="11"/>
      <c r="P25" s="11"/>
      <c r="Q25" s="27" t="s">
        <v>34</v>
      </c>
      <c r="R25" s="11"/>
      <c r="S25" s="28">
        <v>8.9999999999999993E-3</v>
      </c>
      <c r="T25" s="11"/>
      <c r="U25" s="11"/>
      <c r="V25" s="11"/>
      <c r="W25" s="11"/>
      <c r="X25" s="11"/>
      <c r="Y25" s="11"/>
      <c r="Z25" s="11"/>
      <c r="AA25" s="12"/>
      <c r="AB25" s="12"/>
      <c r="AC25" s="12"/>
      <c r="AD25" s="12"/>
      <c r="AE25" s="12"/>
      <c r="AF25" s="12"/>
    </row>
    <row r="26" spans="1:32" ht="18" x14ac:dyDescent="0.4">
      <c r="A26" s="5">
        <v>4</v>
      </c>
      <c r="B26" s="5" t="s">
        <v>7</v>
      </c>
      <c r="C26" s="6">
        <v>24</v>
      </c>
      <c r="D26" s="7">
        <v>0.11560000000000001</v>
      </c>
      <c r="E26" s="8">
        <f t="shared" si="0"/>
        <v>1806.3132515101277</v>
      </c>
      <c r="F26" s="9">
        <v>0.6</v>
      </c>
      <c r="G26" s="10">
        <f t="shared" si="1"/>
        <v>44187</v>
      </c>
      <c r="H26" s="11"/>
      <c r="I26" s="11"/>
      <c r="J26" s="11"/>
      <c r="K26" s="11"/>
      <c r="L26" s="11"/>
      <c r="M26" s="11"/>
      <c r="N26" s="11"/>
      <c r="O26" s="11"/>
      <c r="P26" s="11"/>
      <c r="Q26" s="27" t="s">
        <v>38</v>
      </c>
      <c r="R26" s="11"/>
      <c r="S26" s="28">
        <v>1.0999999999999999E-2</v>
      </c>
      <c r="T26" s="11"/>
      <c r="U26" s="11"/>
      <c r="V26" s="11"/>
      <c r="W26" s="11"/>
      <c r="X26" s="11"/>
      <c r="Y26" s="11"/>
      <c r="Z26" s="11"/>
      <c r="AA26" s="12"/>
      <c r="AB26" s="12"/>
      <c r="AC26" s="12"/>
      <c r="AD26" s="12"/>
      <c r="AE26" s="12"/>
      <c r="AF26" s="12"/>
    </row>
    <row r="27" spans="1:32" ht="18" x14ac:dyDescent="0.4">
      <c r="A27" s="5">
        <v>4</v>
      </c>
      <c r="B27" s="5" t="s">
        <v>7</v>
      </c>
      <c r="C27" s="6">
        <v>36</v>
      </c>
      <c r="D27" s="7">
        <v>9.7600000000000006E-2</v>
      </c>
      <c r="E27" s="8">
        <f t="shared" si="0"/>
        <v>1395.050976592363</v>
      </c>
      <c r="F27" s="9">
        <v>0.55000000000000004</v>
      </c>
      <c r="G27" s="10">
        <f t="shared" si="1"/>
        <v>40504.75</v>
      </c>
      <c r="H27" s="11"/>
      <c r="I27" s="11"/>
      <c r="J27" s="11"/>
      <c r="K27" s="11"/>
      <c r="L27" s="11"/>
      <c r="M27" s="11"/>
      <c r="N27" s="11"/>
      <c r="O27" s="11"/>
      <c r="P27" s="11"/>
      <c r="Q27" s="27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2"/>
      <c r="AC27" s="12"/>
      <c r="AD27" s="12"/>
      <c r="AE27" s="12"/>
      <c r="AF27" s="12"/>
    </row>
    <row r="28" spans="1:32" ht="18" x14ac:dyDescent="0.4">
      <c r="A28" s="5">
        <v>4</v>
      </c>
      <c r="B28" s="5" t="s">
        <v>7</v>
      </c>
      <c r="C28" s="6">
        <v>48</v>
      </c>
      <c r="D28" s="7">
        <v>9.1499999999999998E-2</v>
      </c>
      <c r="E28" s="8">
        <f t="shared" si="0"/>
        <v>1199.7259681245607</v>
      </c>
      <c r="F28" s="9">
        <v>0.5</v>
      </c>
      <c r="G28" s="10">
        <f t="shared" si="1"/>
        <v>36822.5</v>
      </c>
      <c r="H28" s="11"/>
      <c r="I28" s="11"/>
      <c r="J28" s="11"/>
      <c r="K28" s="11"/>
      <c r="L28" s="11"/>
      <c r="M28" s="11"/>
      <c r="N28" s="11"/>
      <c r="O28" s="11"/>
      <c r="P28" s="27" t="s">
        <v>41</v>
      </c>
      <c r="Q28" s="11"/>
      <c r="R28" s="11"/>
      <c r="S28" s="28">
        <v>2.5000000000000001E-3</v>
      </c>
      <c r="T28" s="11"/>
      <c r="U28" s="11"/>
      <c r="V28" s="11"/>
      <c r="W28" s="11"/>
      <c r="X28" s="11"/>
      <c r="Y28" s="11"/>
      <c r="Z28" s="11"/>
      <c r="AA28" s="12"/>
      <c r="AB28" s="12"/>
      <c r="AC28" s="12"/>
      <c r="AD28" s="12"/>
      <c r="AE28" s="12"/>
      <c r="AF28" s="12"/>
    </row>
    <row r="29" spans="1:32" ht="18" x14ac:dyDescent="0.4">
      <c r="A29" s="5">
        <v>4</v>
      </c>
      <c r="B29" s="5" t="s">
        <v>7</v>
      </c>
      <c r="C29" s="6">
        <v>60</v>
      </c>
      <c r="D29" s="7">
        <v>8.2699999999999996E-2</v>
      </c>
      <c r="E29" s="8">
        <f t="shared" si="0"/>
        <v>1104.6883864537056</v>
      </c>
      <c r="F29" s="9">
        <v>0.4</v>
      </c>
      <c r="G29" s="10">
        <f t="shared" si="1"/>
        <v>29458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2"/>
      <c r="AC29" s="12"/>
      <c r="AD29" s="12"/>
      <c r="AE29" s="12"/>
      <c r="AF29" s="12"/>
    </row>
    <row r="30" spans="1:32" ht="18" x14ac:dyDescent="0.4">
      <c r="A30" s="5">
        <v>4</v>
      </c>
      <c r="B30" s="5" t="s">
        <v>7</v>
      </c>
      <c r="C30" s="6">
        <v>72</v>
      </c>
      <c r="D30" s="7">
        <v>8.1199999999999994E-2</v>
      </c>
      <c r="E30" s="8">
        <f t="shared" si="0"/>
        <v>1016.5265655859594</v>
      </c>
      <c r="F30" s="9">
        <v>0.35</v>
      </c>
      <c r="G30" s="10">
        <f t="shared" si="1"/>
        <v>25775.75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2"/>
      <c r="AC30" s="12"/>
      <c r="AD30" s="12"/>
      <c r="AE30" s="12"/>
      <c r="AF30" s="12"/>
    </row>
    <row r="31" spans="1:32" ht="18" x14ac:dyDescent="0.4">
      <c r="A31" s="5">
        <v>4</v>
      </c>
      <c r="B31" s="5" t="s">
        <v>7</v>
      </c>
      <c r="C31" s="6">
        <v>84</v>
      </c>
      <c r="D31" s="7">
        <v>6.88E-2</v>
      </c>
      <c r="E31" s="8">
        <f t="shared" si="0"/>
        <v>901.69911795642247</v>
      </c>
      <c r="F31" s="9">
        <v>0.3</v>
      </c>
      <c r="G31" s="10">
        <f t="shared" si="1"/>
        <v>22093.5</v>
      </c>
      <c r="H31" s="11" t="s">
        <v>54</v>
      </c>
      <c r="I31" s="11"/>
      <c r="J31" s="11" t="s">
        <v>57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2"/>
      <c r="AC31" s="12"/>
      <c r="AD31" s="12"/>
      <c r="AE31" s="12"/>
      <c r="AF31" s="12"/>
    </row>
    <row r="32" spans="1:32" ht="18" x14ac:dyDescent="0.4">
      <c r="A32" s="5">
        <v>0</v>
      </c>
      <c r="B32" s="5" t="s">
        <v>18</v>
      </c>
      <c r="C32" s="6">
        <v>24</v>
      </c>
      <c r="D32" s="7">
        <v>9.2999999999999999E-2</v>
      </c>
      <c r="E32" s="8">
        <f t="shared" si="0"/>
        <v>1692.2887716849652</v>
      </c>
      <c r="F32" s="9">
        <v>0.6</v>
      </c>
      <c r="G32" s="10">
        <f t="shared" si="1"/>
        <v>44187</v>
      </c>
      <c r="H32" s="11"/>
      <c r="I32" s="11"/>
      <c r="J32" s="11" t="s">
        <v>56</v>
      </c>
      <c r="K32" s="11"/>
      <c r="L32" s="11"/>
      <c r="M32" s="11"/>
      <c r="N32" s="11"/>
      <c r="O32" s="11"/>
      <c r="P32" s="11" t="s">
        <v>11</v>
      </c>
      <c r="Q32" s="11">
        <v>2</v>
      </c>
      <c r="R32" s="11">
        <v>3</v>
      </c>
      <c r="S32" s="11">
        <v>4</v>
      </c>
      <c r="T32" s="11"/>
      <c r="U32" s="11"/>
      <c r="V32" s="11"/>
      <c r="W32" s="11"/>
      <c r="X32" s="11"/>
      <c r="Y32" s="11"/>
      <c r="Z32" s="11"/>
      <c r="AA32" s="12"/>
      <c r="AB32" s="12"/>
      <c r="AC32" s="12"/>
      <c r="AD32" s="12"/>
      <c r="AE32" s="12"/>
      <c r="AF32" s="12"/>
    </row>
    <row r="33" spans="1:32" ht="18" x14ac:dyDescent="0.4">
      <c r="A33" s="5">
        <v>0</v>
      </c>
      <c r="B33" s="5" t="s">
        <v>18</v>
      </c>
      <c r="C33" s="6">
        <v>36</v>
      </c>
      <c r="D33" s="7">
        <v>8.8700000000000001E-2</v>
      </c>
      <c r="E33" s="8">
        <f t="shared" si="0"/>
        <v>1351.2447388993205</v>
      </c>
      <c r="F33" s="9">
        <v>0.55000000000000004</v>
      </c>
      <c r="G33" s="10">
        <f t="shared" si="1"/>
        <v>40504.75</v>
      </c>
      <c r="H33" s="11"/>
      <c r="I33" s="11" t="s">
        <v>12</v>
      </c>
      <c r="J33" s="23">
        <v>8.0500000000000002E-2</v>
      </c>
      <c r="K33" s="23">
        <f t="shared" ref="K33:K38" si="3">SUM(J33,$S$28)</f>
        <v>8.3000000000000004E-2</v>
      </c>
      <c r="L33" s="11"/>
      <c r="M33" s="11"/>
      <c r="N33" s="11"/>
      <c r="O33" s="11"/>
      <c r="P33" s="24">
        <f>SUM($K$33,N13)</f>
        <v>9.2999999999999999E-2</v>
      </c>
      <c r="Q33" s="24">
        <f t="shared" ref="Q33:S33" si="4">SUM($K$33,O13)</f>
        <v>0.10300000000000001</v>
      </c>
      <c r="R33" s="24">
        <f t="shared" si="4"/>
        <v>0.113</v>
      </c>
      <c r="S33" s="24">
        <f t="shared" si="4"/>
        <v>0.123</v>
      </c>
      <c r="T33" s="11"/>
      <c r="U33" s="11"/>
      <c r="V33" s="11"/>
      <c r="W33" s="11"/>
      <c r="X33" s="11"/>
      <c r="Y33" s="11"/>
      <c r="Z33" s="11"/>
      <c r="AA33" s="12"/>
      <c r="AB33" s="12"/>
      <c r="AC33" s="12"/>
      <c r="AD33" s="12"/>
      <c r="AE33" s="12"/>
      <c r="AF33" s="12"/>
    </row>
    <row r="34" spans="1:32" ht="18" x14ac:dyDescent="0.4">
      <c r="A34" s="5">
        <v>0</v>
      </c>
      <c r="B34" s="5" t="s">
        <v>18</v>
      </c>
      <c r="C34" s="6">
        <v>48</v>
      </c>
      <c r="D34" s="7">
        <v>8.3600000000000008E-2</v>
      </c>
      <c r="E34" s="8">
        <f t="shared" ref="E34:E65" si="5">PMT(D34/12,C34,-dealTotal,G34)</f>
        <v>1161.7103401589457</v>
      </c>
      <c r="F34" s="9">
        <v>0.5</v>
      </c>
      <c r="G34" s="10">
        <f t="shared" ref="G34:G65" si="6">SUM(dealTotal*F34)</f>
        <v>36822.5</v>
      </c>
      <c r="H34" s="11"/>
      <c r="I34" s="11" t="s">
        <v>13</v>
      </c>
      <c r="J34" s="23">
        <v>7.9500000000000001E-2</v>
      </c>
      <c r="K34" s="23">
        <f t="shared" si="3"/>
        <v>8.2000000000000003E-2</v>
      </c>
      <c r="L34" s="11"/>
      <c r="M34" s="11"/>
      <c r="N34" s="11"/>
      <c r="O34" s="11"/>
      <c r="P34" s="24">
        <f>SUM($K$34,N14)</f>
        <v>8.8700000000000001E-2</v>
      </c>
      <c r="Q34" s="24">
        <f t="shared" ref="Q34:S34" si="7">SUM($K$34,O14)</f>
        <v>9.5399999999999999E-2</v>
      </c>
      <c r="R34" s="24">
        <f t="shared" si="7"/>
        <v>0.1021</v>
      </c>
      <c r="S34" s="24">
        <f t="shared" si="7"/>
        <v>0.10880000000000001</v>
      </c>
      <c r="T34" s="11"/>
      <c r="U34" s="11"/>
      <c r="V34" s="11"/>
      <c r="W34" s="11"/>
      <c r="X34" s="11"/>
      <c r="Y34" s="11"/>
      <c r="Z34" s="11"/>
      <c r="AA34" s="12"/>
      <c r="AB34" s="12"/>
      <c r="AC34" s="12"/>
      <c r="AD34" s="12"/>
      <c r="AE34" s="12"/>
      <c r="AF34" s="12"/>
    </row>
    <row r="35" spans="1:32" ht="18" x14ac:dyDescent="0.4">
      <c r="A35" s="5">
        <v>0</v>
      </c>
      <c r="B35" s="5" t="s">
        <v>18</v>
      </c>
      <c r="C35" s="6">
        <v>60</v>
      </c>
      <c r="D35" s="7">
        <v>7.9199999999999993E-2</v>
      </c>
      <c r="E35" s="8">
        <f t="shared" si="5"/>
        <v>1038.4660139278903</v>
      </c>
      <c r="F35" s="9">
        <v>0.45</v>
      </c>
      <c r="G35" s="10">
        <f t="shared" si="6"/>
        <v>33140.25</v>
      </c>
      <c r="H35" s="11"/>
      <c r="I35" s="11" t="s">
        <v>14</v>
      </c>
      <c r="J35" s="23">
        <v>7.5999999999999998E-2</v>
      </c>
      <c r="K35" s="23">
        <f t="shared" si="3"/>
        <v>7.85E-2</v>
      </c>
      <c r="L35" s="11"/>
      <c r="M35" s="11"/>
      <c r="N35" s="11"/>
      <c r="O35" s="11"/>
      <c r="P35" s="24">
        <f>SUM($K$35,N15)</f>
        <v>8.3600000000000008E-2</v>
      </c>
      <c r="Q35" s="24">
        <f t="shared" ref="Q35:S35" si="8">SUM($K$35,O15)</f>
        <v>8.8700000000000001E-2</v>
      </c>
      <c r="R35" s="24">
        <f t="shared" si="8"/>
        <v>9.3799999999999994E-2</v>
      </c>
      <c r="S35" s="24">
        <f t="shared" si="8"/>
        <v>9.8900000000000002E-2</v>
      </c>
      <c r="T35" s="11"/>
      <c r="U35" s="11"/>
      <c r="V35" s="11"/>
      <c r="W35" s="11"/>
      <c r="X35" s="11"/>
      <c r="Y35" s="11"/>
      <c r="Z35" s="11"/>
      <c r="AA35" s="12"/>
      <c r="AB35" s="12"/>
      <c r="AC35" s="12"/>
      <c r="AD35" s="12"/>
      <c r="AE35" s="12"/>
      <c r="AF35" s="12"/>
    </row>
    <row r="36" spans="1:32" ht="18" x14ac:dyDescent="0.4">
      <c r="A36" s="5">
        <v>0</v>
      </c>
      <c r="B36" s="5" t="s">
        <v>18</v>
      </c>
      <c r="C36" s="6">
        <v>72</v>
      </c>
      <c r="D36" s="7">
        <v>7.6499999999999999E-2</v>
      </c>
      <c r="E36" s="8">
        <f t="shared" si="5"/>
        <v>955.00650500986683</v>
      </c>
      <c r="F36" s="9">
        <v>0.4</v>
      </c>
      <c r="G36" s="10">
        <f t="shared" si="6"/>
        <v>29458</v>
      </c>
      <c r="H36" s="11"/>
      <c r="I36" s="11" t="s">
        <v>15</v>
      </c>
      <c r="J36" s="23">
        <v>7.2499999999999995E-2</v>
      </c>
      <c r="K36" s="23">
        <f t="shared" si="3"/>
        <v>7.4999999999999997E-2</v>
      </c>
      <c r="L36" s="11"/>
      <c r="M36" s="11"/>
      <c r="N36" s="11"/>
      <c r="O36" s="11"/>
      <c r="P36" s="24">
        <f>SUM($K$36,N16)</f>
        <v>7.9199999999999993E-2</v>
      </c>
      <c r="Q36" s="24">
        <f t="shared" ref="Q36:S36" si="9">SUM($K$36,O16)</f>
        <v>8.3400000000000002E-2</v>
      </c>
      <c r="R36" s="24">
        <f t="shared" si="9"/>
        <v>8.7599999999999997E-2</v>
      </c>
      <c r="S36" s="24">
        <f t="shared" si="9"/>
        <v>9.1799999999999993E-2</v>
      </c>
      <c r="T36" s="11"/>
      <c r="U36" s="11"/>
      <c r="V36" s="11"/>
      <c r="W36" s="11"/>
      <c r="X36" s="11"/>
      <c r="Y36" s="11"/>
      <c r="Z36" s="11"/>
      <c r="AA36" s="12"/>
      <c r="AB36" s="12"/>
      <c r="AC36" s="12"/>
      <c r="AD36" s="12"/>
      <c r="AE36" s="12"/>
      <c r="AF36" s="12"/>
    </row>
    <row r="37" spans="1:32" ht="18" x14ac:dyDescent="0.4">
      <c r="A37" s="5">
        <v>0</v>
      </c>
      <c r="B37" s="5" t="s">
        <v>18</v>
      </c>
      <c r="C37" s="6">
        <v>84</v>
      </c>
      <c r="D37" s="7">
        <v>7.6100000000000001E-2</v>
      </c>
      <c r="E37" s="8">
        <f t="shared" si="5"/>
        <v>900.29446993833699</v>
      </c>
      <c r="F37" s="9">
        <v>0.35</v>
      </c>
      <c r="G37" s="10">
        <f t="shared" si="6"/>
        <v>25775.75</v>
      </c>
      <c r="H37" s="11"/>
      <c r="I37" s="11" t="s">
        <v>16</v>
      </c>
      <c r="J37" s="23">
        <v>7.0499999999999993E-2</v>
      </c>
      <c r="K37" s="23">
        <f t="shared" si="3"/>
        <v>7.2999999999999995E-2</v>
      </c>
      <c r="L37" s="11"/>
      <c r="M37" s="11"/>
      <c r="N37" s="11"/>
      <c r="O37" s="11"/>
      <c r="P37" s="24">
        <f>SUM($K$37,N17)</f>
        <v>7.6499999999999999E-2</v>
      </c>
      <c r="Q37" s="24">
        <f t="shared" ref="Q37:S37" si="10">SUM($K$37,O17)</f>
        <v>0.08</v>
      </c>
      <c r="R37" s="24">
        <f t="shared" si="10"/>
        <v>8.3499999999999991E-2</v>
      </c>
      <c r="S37" s="24">
        <f t="shared" si="10"/>
        <v>8.6999999999999994E-2</v>
      </c>
      <c r="T37" s="11"/>
      <c r="U37" s="11"/>
      <c r="V37" s="11"/>
      <c r="W37" s="11"/>
      <c r="X37" s="11"/>
      <c r="Y37" s="11"/>
      <c r="Z37" s="11"/>
      <c r="AA37" s="12"/>
      <c r="AB37" s="12"/>
      <c r="AC37" s="12"/>
      <c r="AD37" s="12"/>
      <c r="AE37" s="12"/>
      <c r="AF37" s="12"/>
    </row>
    <row r="38" spans="1:32" ht="18" x14ac:dyDescent="0.4">
      <c r="A38" s="5">
        <v>1</v>
      </c>
      <c r="B38" s="5" t="s">
        <v>18</v>
      </c>
      <c r="C38" s="6">
        <v>24</v>
      </c>
      <c r="D38" s="7">
        <v>9.2999999999999999E-2</v>
      </c>
      <c r="E38" s="8">
        <f t="shared" si="5"/>
        <v>1692.2887716849652</v>
      </c>
      <c r="F38" s="9">
        <v>0.6</v>
      </c>
      <c r="G38" s="10">
        <f t="shared" si="6"/>
        <v>44187</v>
      </c>
      <c r="H38" s="11"/>
      <c r="I38" s="11" t="s">
        <v>17</v>
      </c>
      <c r="J38" s="23">
        <v>7.0499999999999993E-2</v>
      </c>
      <c r="K38" s="23">
        <f t="shared" si="3"/>
        <v>7.2999999999999995E-2</v>
      </c>
      <c r="L38" s="11"/>
      <c r="M38" s="11"/>
      <c r="N38" s="11"/>
      <c r="O38" s="11"/>
      <c r="P38" s="24">
        <f>SUM($K$38,N18)</f>
        <v>7.6100000000000001E-2</v>
      </c>
      <c r="Q38" s="24">
        <f t="shared" ref="Q38:S38" si="11">SUM($K$38,O18)</f>
        <v>7.9199999999999993E-2</v>
      </c>
      <c r="R38" s="24">
        <f t="shared" si="11"/>
        <v>8.2299999999999998E-2</v>
      </c>
      <c r="S38" s="24">
        <f t="shared" si="11"/>
        <v>8.539999999999999E-2</v>
      </c>
      <c r="T38" s="11"/>
      <c r="U38" s="11"/>
      <c r="V38" s="11"/>
      <c r="W38" s="11"/>
      <c r="X38" s="11"/>
      <c r="Y38" s="11"/>
      <c r="Z38" s="11"/>
      <c r="AA38" s="12"/>
      <c r="AB38" s="12"/>
      <c r="AC38" s="12"/>
      <c r="AD38" s="12"/>
      <c r="AE38" s="12"/>
      <c r="AF38" s="12"/>
    </row>
    <row r="39" spans="1:32" ht="18" x14ac:dyDescent="0.4">
      <c r="A39" s="5">
        <v>1</v>
      </c>
      <c r="B39" s="5" t="s">
        <v>18</v>
      </c>
      <c r="C39" s="6">
        <v>36</v>
      </c>
      <c r="D39" s="7">
        <v>8.8700000000000001E-2</v>
      </c>
      <c r="E39" s="8">
        <f t="shared" si="5"/>
        <v>1351.2447388993205</v>
      </c>
      <c r="F39" s="9">
        <v>0.55000000000000004</v>
      </c>
      <c r="G39" s="10">
        <f t="shared" si="6"/>
        <v>40504.75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2"/>
      <c r="AC39" s="12"/>
      <c r="AD39" s="12"/>
      <c r="AE39" s="12"/>
      <c r="AF39" s="12"/>
    </row>
    <row r="40" spans="1:32" ht="18" x14ac:dyDescent="0.4">
      <c r="A40" s="5">
        <v>1</v>
      </c>
      <c r="B40" s="5" t="s">
        <v>18</v>
      </c>
      <c r="C40" s="6">
        <v>48</v>
      </c>
      <c r="D40" s="7">
        <v>8.3600000000000008E-2</v>
      </c>
      <c r="E40" s="8">
        <f t="shared" si="5"/>
        <v>1161.7103401589457</v>
      </c>
      <c r="F40" s="9">
        <v>0.5</v>
      </c>
      <c r="G40" s="10">
        <f t="shared" si="6"/>
        <v>36822.5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2"/>
      <c r="AC40" s="12"/>
      <c r="AD40" s="12"/>
      <c r="AE40" s="12"/>
      <c r="AF40" s="12"/>
    </row>
    <row r="41" spans="1:32" ht="18" x14ac:dyDescent="0.4">
      <c r="A41" s="5">
        <v>1</v>
      </c>
      <c r="B41" s="5" t="s">
        <v>18</v>
      </c>
      <c r="C41" s="6">
        <v>60</v>
      </c>
      <c r="D41" s="7">
        <v>7.9199999999999993E-2</v>
      </c>
      <c r="E41" s="8">
        <f t="shared" si="5"/>
        <v>1038.4660139278903</v>
      </c>
      <c r="F41" s="9">
        <v>0.45</v>
      </c>
      <c r="G41" s="10">
        <f t="shared" si="6"/>
        <v>33140.25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2"/>
      <c r="AC41" s="12"/>
      <c r="AD41" s="12"/>
      <c r="AE41" s="12"/>
      <c r="AF41" s="12"/>
    </row>
    <row r="42" spans="1:32" ht="18" x14ac:dyDescent="0.4">
      <c r="A42" s="5">
        <v>1</v>
      </c>
      <c r="B42" s="5" t="s">
        <v>18</v>
      </c>
      <c r="C42" s="6">
        <v>72</v>
      </c>
      <c r="D42" s="7">
        <v>7.6499999999999999E-2</v>
      </c>
      <c r="E42" s="8">
        <f t="shared" si="5"/>
        <v>955.00650500986683</v>
      </c>
      <c r="F42" s="9">
        <v>0.4</v>
      </c>
      <c r="G42" s="10">
        <f t="shared" si="6"/>
        <v>29458</v>
      </c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 spans="1:32" ht="18" x14ac:dyDescent="0.4">
      <c r="A43" s="5">
        <v>1</v>
      </c>
      <c r="B43" s="5" t="s">
        <v>18</v>
      </c>
      <c r="C43" s="6">
        <v>84</v>
      </c>
      <c r="D43" s="7">
        <v>7.6100000000000001E-2</v>
      </c>
      <c r="E43" s="8">
        <f t="shared" si="5"/>
        <v>900.29446993833699</v>
      </c>
      <c r="F43" s="9">
        <v>0.35</v>
      </c>
      <c r="G43" s="10">
        <f t="shared" si="6"/>
        <v>25775.75</v>
      </c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 spans="1:32" ht="18" x14ac:dyDescent="0.4">
      <c r="A44" s="5">
        <v>2</v>
      </c>
      <c r="B44" s="5" t="s">
        <v>18</v>
      </c>
      <c r="C44" s="6">
        <v>24</v>
      </c>
      <c r="D44" s="7">
        <v>0.10300000000000001</v>
      </c>
      <c r="E44" s="8">
        <f t="shared" si="5"/>
        <v>1742.6914974180074</v>
      </c>
      <c r="F44" s="9">
        <v>0.6</v>
      </c>
      <c r="G44" s="10">
        <f t="shared" si="6"/>
        <v>44187</v>
      </c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 spans="1:32" ht="18" x14ac:dyDescent="0.4">
      <c r="A45" s="5">
        <v>2</v>
      </c>
      <c r="B45" s="5" t="s">
        <v>18</v>
      </c>
      <c r="C45" s="6">
        <v>36</v>
      </c>
      <c r="D45" s="7">
        <v>9.5399999999999999E-2</v>
      </c>
      <c r="E45" s="8">
        <f t="shared" si="5"/>
        <v>1384.2124964168979</v>
      </c>
      <c r="F45" s="9">
        <v>0.55000000000000004</v>
      </c>
      <c r="G45" s="10">
        <f t="shared" si="6"/>
        <v>40504.75</v>
      </c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 spans="1:32" ht="18" x14ac:dyDescent="0.4">
      <c r="A46" s="5">
        <v>2</v>
      </c>
      <c r="B46" s="5" t="s">
        <v>18</v>
      </c>
      <c r="C46" s="6">
        <v>48</v>
      </c>
      <c r="D46" s="7">
        <v>8.8700000000000001E-2</v>
      </c>
      <c r="E46" s="8">
        <f t="shared" si="5"/>
        <v>1186.2378098744718</v>
      </c>
      <c r="F46" s="9">
        <v>0.5</v>
      </c>
      <c r="G46" s="10">
        <f t="shared" si="6"/>
        <v>36822.5</v>
      </c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 spans="1:32" ht="18" x14ac:dyDescent="0.4">
      <c r="A47" s="5">
        <v>2</v>
      </c>
      <c r="B47" s="5" t="s">
        <v>18</v>
      </c>
      <c r="C47" s="6">
        <v>60</v>
      </c>
      <c r="D47" s="7">
        <v>8.3400000000000002E-2</v>
      </c>
      <c r="E47" s="8">
        <f t="shared" si="5"/>
        <v>1058.2217260320717</v>
      </c>
      <c r="F47" s="9">
        <v>0.45</v>
      </c>
      <c r="G47" s="10">
        <f t="shared" si="6"/>
        <v>33140.25</v>
      </c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spans="1:32" ht="18" x14ac:dyDescent="0.4">
      <c r="A48" s="5">
        <v>2</v>
      </c>
      <c r="B48" s="5" t="s">
        <v>18</v>
      </c>
      <c r="C48" s="6">
        <v>72</v>
      </c>
      <c r="D48" s="7">
        <v>0.08</v>
      </c>
      <c r="E48" s="8">
        <f t="shared" si="5"/>
        <v>971.12796958702472</v>
      </c>
      <c r="F48" s="9">
        <v>0.4</v>
      </c>
      <c r="G48" s="10">
        <f t="shared" si="6"/>
        <v>29458</v>
      </c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 spans="1:32" ht="18" x14ac:dyDescent="0.4">
      <c r="A49" s="5">
        <v>2</v>
      </c>
      <c r="B49" s="5" t="s">
        <v>18</v>
      </c>
      <c r="C49" s="6">
        <v>84</v>
      </c>
      <c r="D49" s="7">
        <v>7.9199999999999993E-2</v>
      </c>
      <c r="E49" s="8">
        <f t="shared" si="5"/>
        <v>914.31384647051993</v>
      </c>
      <c r="F49" s="9">
        <v>0.35</v>
      </c>
      <c r="G49" s="10">
        <f t="shared" si="6"/>
        <v>25775.75</v>
      </c>
      <c r="H49" s="12"/>
      <c r="I49" s="12"/>
      <c r="J49" s="16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spans="1:32" ht="18" x14ac:dyDescent="0.4">
      <c r="A50" s="5">
        <v>3</v>
      </c>
      <c r="B50" s="5" t="s">
        <v>18</v>
      </c>
      <c r="C50" s="6">
        <v>24</v>
      </c>
      <c r="D50" s="7">
        <v>0.113</v>
      </c>
      <c r="E50" s="8">
        <f t="shared" si="5"/>
        <v>1793.1745295332273</v>
      </c>
      <c r="F50" s="9">
        <v>0.6</v>
      </c>
      <c r="G50" s="10">
        <f t="shared" si="6"/>
        <v>44187</v>
      </c>
      <c r="H50" s="12"/>
      <c r="I50" s="12"/>
      <c r="J50" s="16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 spans="1:32" ht="18" x14ac:dyDescent="0.4">
      <c r="A51" s="5">
        <v>3</v>
      </c>
      <c r="B51" s="5" t="s">
        <v>18</v>
      </c>
      <c r="C51" s="6">
        <v>36</v>
      </c>
      <c r="D51" s="7">
        <v>0.1021</v>
      </c>
      <c r="E51" s="8">
        <f t="shared" si="5"/>
        <v>1417.2409655656631</v>
      </c>
      <c r="F51" s="9">
        <v>0.55000000000000004</v>
      </c>
      <c r="G51" s="10">
        <f t="shared" si="6"/>
        <v>40504.75</v>
      </c>
      <c r="H51" s="12"/>
      <c r="I51" s="12"/>
      <c r="J51" s="16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 spans="1:32" ht="18" x14ac:dyDescent="0.4">
      <c r="A52" s="5">
        <v>3</v>
      </c>
      <c r="B52" s="5" t="s">
        <v>18</v>
      </c>
      <c r="C52" s="6">
        <v>48</v>
      </c>
      <c r="D52" s="7">
        <v>9.3799999999999994E-2</v>
      </c>
      <c r="E52" s="8">
        <f t="shared" si="5"/>
        <v>1210.8172280204326</v>
      </c>
      <c r="F52" s="9">
        <v>0.5</v>
      </c>
      <c r="G52" s="10">
        <f t="shared" si="6"/>
        <v>36822.5</v>
      </c>
      <c r="H52" s="12"/>
      <c r="I52" s="12"/>
      <c r="J52" s="16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 spans="1:32" ht="18" x14ac:dyDescent="0.4">
      <c r="A53" s="5">
        <v>3</v>
      </c>
      <c r="B53" s="5" t="s">
        <v>18</v>
      </c>
      <c r="C53" s="6">
        <v>60</v>
      </c>
      <c r="D53" s="7">
        <v>8.7599999999999997E-2</v>
      </c>
      <c r="E53" s="8">
        <f t="shared" si="5"/>
        <v>1078.0256906225341</v>
      </c>
      <c r="F53" s="9">
        <v>0.45</v>
      </c>
      <c r="G53" s="10">
        <f t="shared" si="6"/>
        <v>33140.25</v>
      </c>
      <c r="H53" s="12"/>
      <c r="I53" s="12"/>
      <c r="J53" s="16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spans="1:32" ht="18" x14ac:dyDescent="0.4">
      <c r="A54" s="5">
        <v>3</v>
      </c>
      <c r="B54" s="5" t="s">
        <v>18</v>
      </c>
      <c r="C54" s="6">
        <v>72</v>
      </c>
      <c r="D54" s="7">
        <v>8.3499999999999991E-2</v>
      </c>
      <c r="E54" s="8">
        <f t="shared" si="5"/>
        <v>987.29307734478846</v>
      </c>
      <c r="F54" s="9">
        <v>0.4</v>
      </c>
      <c r="G54" s="10">
        <f t="shared" si="6"/>
        <v>29458</v>
      </c>
      <c r="H54" s="12"/>
      <c r="I54" s="12"/>
      <c r="J54" s="16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spans="1:32" ht="18" x14ac:dyDescent="0.4">
      <c r="A55" s="5">
        <v>3</v>
      </c>
      <c r="B55" s="5" t="s">
        <v>18</v>
      </c>
      <c r="C55" s="6">
        <v>84</v>
      </c>
      <c r="D55" s="7">
        <v>8.2299999999999998E-2</v>
      </c>
      <c r="E55" s="8">
        <f t="shared" si="5"/>
        <v>928.37617403106276</v>
      </c>
      <c r="F55" s="9">
        <v>0.35</v>
      </c>
      <c r="G55" s="10">
        <f t="shared" si="6"/>
        <v>25775.75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spans="1:32" ht="18" x14ac:dyDescent="0.4">
      <c r="A56" s="5">
        <v>4</v>
      </c>
      <c r="B56" s="5" t="s">
        <v>18</v>
      </c>
      <c r="C56" s="6">
        <v>24</v>
      </c>
      <c r="D56" s="7">
        <v>0.123</v>
      </c>
      <c r="E56" s="8">
        <f t="shared" si="5"/>
        <v>1843.7377003545068</v>
      </c>
      <c r="F56" s="9">
        <v>0.6</v>
      </c>
      <c r="G56" s="10">
        <f t="shared" si="6"/>
        <v>44187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spans="1:32" ht="18" x14ac:dyDescent="0.4">
      <c r="A57" s="5">
        <v>4</v>
      </c>
      <c r="B57" s="5" t="s">
        <v>18</v>
      </c>
      <c r="C57" s="6">
        <v>36</v>
      </c>
      <c r="D57" s="7">
        <v>0.10880000000000001</v>
      </c>
      <c r="E57" s="8">
        <f t="shared" si="5"/>
        <v>1450.3300247520754</v>
      </c>
      <c r="F57" s="9">
        <v>0.55000000000000004</v>
      </c>
      <c r="G57" s="10">
        <f t="shared" si="6"/>
        <v>40504.75</v>
      </c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 spans="1:32" ht="18" x14ac:dyDescent="0.4">
      <c r="A58" s="5">
        <v>4</v>
      </c>
      <c r="B58" s="5" t="s">
        <v>18</v>
      </c>
      <c r="C58" s="6">
        <v>48</v>
      </c>
      <c r="D58" s="7">
        <v>9.8900000000000002E-2</v>
      </c>
      <c r="E58" s="8">
        <f t="shared" si="5"/>
        <v>1235.4484855597698</v>
      </c>
      <c r="F58" s="9">
        <v>0.5</v>
      </c>
      <c r="G58" s="10">
        <f t="shared" si="6"/>
        <v>36822.5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 spans="1:32" ht="18" x14ac:dyDescent="0.4">
      <c r="A59" s="5">
        <v>4</v>
      </c>
      <c r="B59" s="5" t="s">
        <v>18</v>
      </c>
      <c r="C59" s="6">
        <v>60</v>
      </c>
      <c r="D59" s="7">
        <v>9.1799999999999993E-2</v>
      </c>
      <c r="E59" s="8">
        <f t="shared" si="5"/>
        <v>1097.8777972566666</v>
      </c>
      <c r="F59" s="9">
        <v>0.45</v>
      </c>
      <c r="G59" s="10">
        <f t="shared" si="6"/>
        <v>33140.25</v>
      </c>
    </row>
    <row r="60" spans="1:32" ht="18" x14ac:dyDescent="0.4">
      <c r="A60" s="5">
        <v>4</v>
      </c>
      <c r="B60" s="5" t="s">
        <v>18</v>
      </c>
      <c r="C60" s="6">
        <v>72</v>
      </c>
      <c r="D60" s="7">
        <v>8.6999999999999994E-2</v>
      </c>
      <c r="E60" s="8">
        <f t="shared" si="5"/>
        <v>1003.5017208621917</v>
      </c>
      <c r="F60" s="9">
        <v>0.4</v>
      </c>
      <c r="G60" s="10">
        <f t="shared" si="6"/>
        <v>29458</v>
      </c>
    </row>
    <row r="61" spans="1:32" ht="18" x14ac:dyDescent="0.4">
      <c r="A61" s="5">
        <v>4</v>
      </c>
      <c r="B61" s="5" t="s">
        <v>18</v>
      </c>
      <c r="C61" s="6">
        <v>84</v>
      </c>
      <c r="D61" s="7">
        <v>8.539999999999999E-2</v>
      </c>
      <c r="E61" s="8">
        <f t="shared" si="5"/>
        <v>942.4813325759967</v>
      </c>
      <c r="F61" s="9">
        <v>0.35</v>
      </c>
      <c r="G61" s="10">
        <f t="shared" si="6"/>
        <v>25775.75</v>
      </c>
    </row>
    <row r="62" spans="1:32" ht="18" x14ac:dyDescent="0.4">
      <c r="A62" s="5">
        <v>0</v>
      </c>
      <c r="B62" s="5" t="s">
        <v>51</v>
      </c>
      <c r="C62" s="6">
        <v>24</v>
      </c>
      <c r="D62" s="7">
        <v>9.2999999999999999E-2</v>
      </c>
      <c r="E62" s="8">
        <f t="shared" si="5"/>
        <v>1692.2887716849652</v>
      </c>
      <c r="F62" s="9">
        <v>0.6</v>
      </c>
      <c r="G62" s="10">
        <f t="shared" si="6"/>
        <v>44187</v>
      </c>
    </row>
    <row r="63" spans="1:32" ht="18" x14ac:dyDescent="0.4">
      <c r="A63" s="5">
        <v>0</v>
      </c>
      <c r="B63" s="5" t="s">
        <v>51</v>
      </c>
      <c r="C63" s="6">
        <v>36</v>
      </c>
      <c r="D63" s="7">
        <v>8.8700000000000001E-2</v>
      </c>
      <c r="E63" s="8">
        <f t="shared" si="5"/>
        <v>1351.2447388993205</v>
      </c>
      <c r="F63" s="9">
        <v>0.55000000000000004</v>
      </c>
      <c r="G63" s="10">
        <f t="shared" si="6"/>
        <v>40504.75</v>
      </c>
    </row>
    <row r="64" spans="1:32" ht="18" x14ac:dyDescent="0.4">
      <c r="A64" s="5">
        <v>0</v>
      </c>
      <c r="B64" s="5" t="s">
        <v>51</v>
      </c>
      <c r="C64" s="6">
        <v>48</v>
      </c>
      <c r="D64" s="7">
        <v>8.3600000000000008E-2</v>
      </c>
      <c r="E64" s="8">
        <f t="shared" si="5"/>
        <v>1161.7103401589457</v>
      </c>
      <c r="F64" s="9">
        <v>0.5</v>
      </c>
      <c r="G64" s="10">
        <f t="shared" si="6"/>
        <v>36822.5</v>
      </c>
    </row>
    <row r="65" spans="1:7" ht="18" x14ac:dyDescent="0.4">
      <c r="A65" s="5">
        <v>0</v>
      </c>
      <c r="B65" s="5" t="s">
        <v>51</v>
      </c>
      <c r="C65" s="6">
        <v>60</v>
      </c>
      <c r="D65" s="7">
        <v>7.9199999999999993E-2</v>
      </c>
      <c r="E65" s="8">
        <f t="shared" si="5"/>
        <v>1038.4660139278903</v>
      </c>
      <c r="F65" s="9">
        <v>0.45</v>
      </c>
      <c r="G65" s="10">
        <f t="shared" si="6"/>
        <v>33140.25</v>
      </c>
    </row>
    <row r="66" spans="1:7" ht="18" x14ac:dyDescent="0.4">
      <c r="A66" s="5">
        <v>0</v>
      </c>
      <c r="B66" s="5" t="s">
        <v>51</v>
      </c>
      <c r="C66" s="6">
        <v>72</v>
      </c>
      <c r="D66" s="7">
        <v>7.6499999999999999E-2</v>
      </c>
      <c r="E66" s="8">
        <f t="shared" ref="E66:E91" si="12">PMT(D66/12,C66,-dealTotal,G66)</f>
        <v>955.00650500986683</v>
      </c>
      <c r="F66" s="9">
        <v>0.4</v>
      </c>
      <c r="G66" s="10">
        <f t="shared" ref="G66:G91" si="13">SUM(dealTotal*F66)</f>
        <v>29458</v>
      </c>
    </row>
    <row r="67" spans="1:7" ht="18" x14ac:dyDescent="0.4">
      <c r="A67" s="5">
        <v>0</v>
      </c>
      <c r="B67" s="5" t="s">
        <v>51</v>
      </c>
      <c r="C67" s="6">
        <v>84</v>
      </c>
      <c r="D67" s="7">
        <v>7.6100000000000001E-2</v>
      </c>
      <c r="E67" s="8">
        <f t="shared" si="12"/>
        <v>900.29446993833699</v>
      </c>
      <c r="F67" s="9">
        <v>0.35</v>
      </c>
      <c r="G67" s="10">
        <f t="shared" si="13"/>
        <v>25775.75</v>
      </c>
    </row>
    <row r="68" spans="1:7" ht="18" x14ac:dyDescent="0.4">
      <c r="A68" s="5">
        <v>1</v>
      </c>
      <c r="B68" s="5" t="s">
        <v>51</v>
      </c>
      <c r="C68" s="6">
        <v>24</v>
      </c>
      <c r="D68" s="7">
        <v>9.2999999999999999E-2</v>
      </c>
      <c r="E68" s="8">
        <f t="shared" si="12"/>
        <v>1692.2887716849652</v>
      </c>
      <c r="F68" s="9">
        <v>0.6</v>
      </c>
      <c r="G68" s="10">
        <f t="shared" si="13"/>
        <v>44187</v>
      </c>
    </row>
    <row r="69" spans="1:7" ht="18" x14ac:dyDescent="0.4">
      <c r="A69" s="5">
        <v>1</v>
      </c>
      <c r="B69" s="5" t="s">
        <v>51</v>
      </c>
      <c r="C69" s="6">
        <v>36</v>
      </c>
      <c r="D69" s="7">
        <v>8.8700000000000001E-2</v>
      </c>
      <c r="E69" s="8">
        <f t="shared" si="12"/>
        <v>1351.2447388993205</v>
      </c>
      <c r="F69" s="9">
        <v>0.55000000000000004</v>
      </c>
      <c r="G69" s="10">
        <f t="shared" si="13"/>
        <v>40504.75</v>
      </c>
    </row>
    <row r="70" spans="1:7" ht="18" x14ac:dyDescent="0.4">
      <c r="A70" s="5">
        <v>1</v>
      </c>
      <c r="B70" s="5" t="s">
        <v>51</v>
      </c>
      <c r="C70" s="6">
        <v>48</v>
      </c>
      <c r="D70" s="7">
        <v>8.3600000000000008E-2</v>
      </c>
      <c r="E70" s="8">
        <f t="shared" si="12"/>
        <v>1161.7103401589457</v>
      </c>
      <c r="F70" s="9">
        <v>0.5</v>
      </c>
      <c r="G70" s="10">
        <f t="shared" si="13"/>
        <v>36822.5</v>
      </c>
    </row>
    <row r="71" spans="1:7" ht="18" x14ac:dyDescent="0.4">
      <c r="A71" s="5">
        <v>1</v>
      </c>
      <c r="B71" s="5" t="s">
        <v>51</v>
      </c>
      <c r="C71" s="6">
        <v>60</v>
      </c>
      <c r="D71" s="7">
        <v>7.9199999999999993E-2</v>
      </c>
      <c r="E71" s="8">
        <f t="shared" si="12"/>
        <v>1038.4660139278903</v>
      </c>
      <c r="F71" s="9">
        <v>0.45</v>
      </c>
      <c r="G71" s="10">
        <f t="shared" si="13"/>
        <v>33140.25</v>
      </c>
    </row>
    <row r="72" spans="1:7" ht="18" x14ac:dyDescent="0.4">
      <c r="A72" s="5">
        <v>1</v>
      </c>
      <c r="B72" s="5" t="s">
        <v>51</v>
      </c>
      <c r="C72" s="6">
        <v>72</v>
      </c>
      <c r="D72" s="7">
        <v>7.6499999999999999E-2</v>
      </c>
      <c r="E72" s="8">
        <f t="shared" si="12"/>
        <v>955.00650500986683</v>
      </c>
      <c r="F72" s="9">
        <v>0.4</v>
      </c>
      <c r="G72" s="10">
        <f t="shared" si="13"/>
        <v>29458</v>
      </c>
    </row>
    <row r="73" spans="1:7" ht="18" x14ac:dyDescent="0.4">
      <c r="A73" s="5">
        <v>1</v>
      </c>
      <c r="B73" s="5" t="s">
        <v>51</v>
      </c>
      <c r="C73" s="6">
        <v>84</v>
      </c>
      <c r="D73" s="7">
        <v>7.6100000000000001E-2</v>
      </c>
      <c r="E73" s="8">
        <f t="shared" si="12"/>
        <v>900.29446993833699</v>
      </c>
      <c r="F73" s="9">
        <v>0.35</v>
      </c>
      <c r="G73" s="10">
        <f t="shared" si="13"/>
        <v>25775.75</v>
      </c>
    </row>
    <row r="74" spans="1:7" ht="18" x14ac:dyDescent="0.4">
      <c r="A74" s="5">
        <v>2</v>
      </c>
      <c r="B74" s="5" t="s">
        <v>51</v>
      </c>
      <c r="C74" s="6">
        <v>24</v>
      </c>
      <c r="D74" s="7">
        <v>0.10300000000000001</v>
      </c>
      <c r="E74" s="8">
        <f t="shared" si="12"/>
        <v>1742.6914974180074</v>
      </c>
      <c r="F74" s="9">
        <v>0.6</v>
      </c>
      <c r="G74" s="10">
        <f t="shared" si="13"/>
        <v>44187</v>
      </c>
    </row>
    <row r="75" spans="1:7" ht="18" x14ac:dyDescent="0.4">
      <c r="A75" s="5">
        <v>2</v>
      </c>
      <c r="B75" s="5" t="s">
        <v>51</v>
      </c>
      <c r="C75" s="6">
        <v>36</v>
      </c>
      <c r="D75" s="7">
        <v>9.5399999999999999E-2</v>
      </c>
      <c r="E75" s="8">
        <f t="shared" si="12"/>
        <v>1384.2124964168979</v>
      </c>
      <c r="F75" s="9">
        <v>0.55000000000000004</v>
      </c>
      <c r="G75" s="10">
        <f t="shared" si="13"/>
        <v>40504.75</v>
      </c>
    </row>
    <row r="76" spans="1:7" ht="18" x14ac:dyDescent="0.4">
      <c r="A76" s="5">
        <v>2</v>
      </c>
      <c r="B76" s="5" t="s">
        <v>51</v>
      </c>
      <c r="C76" s="6">
        <v>48</v>
      </c>
      <c r="D76" s="7">
        <v>8.8700000000000001E-2</v>
      </c>
      <c r="E76" s="8">
        <f t="shared" si="12"/>
        <v>1186.2378098744718</v>
      </c>
      <c r="F76" s="9">
        <v>0.5</v>
      </c>
      <c r="G76" s="10">
        <f t="shared" si="13"/>
        <v>36822.5</v>
      </c>
    </row>
    <row r="77" spans="1:7" ht="18" x14ac:dyDescent="0.4">
      <c r="A77" s="5">
        <v>2</v>
      </c>
      <c r="B77" s="5" t="s">
        <v>51</v>
      </c>
      <c r="C77" s="6">
        <v>60</v>
      </c>
      <c r="D77" s="7">
        <v>8.3400000000000002E-2</v>
      </c>
      <c r="E77" s="8">
        <f t="shared" si="12"/>
        <v>1058.2217260320717</v>
      </c>
      <c r="F77" s="9">
        <v>0.45</v>
      </c>
      <c r="G77" s="10">
        <f t="shared" si="13"/>
        <v>33140.25</v>
      </c>
    </row>
    <row r="78" spans="1:7" ht="18" x14ac:dyDescent="0.4">
      <c r="A78" s="5">
        <v>2</v>
      </c>
      <c r="B78" s="5" t="s">
        <v>51</v>
      </c>
      <c r="C78" s="6">
        <v>72</v>
      </c>
      <c r="D78" s="7">
        <v>0.08</v>
      </c>
      <c r="E78" s="8">
        <f t="shared" si="12"/>
        <v>971.12796958702472</v>
      </c>
      <c r="F78" s="9">
        <v>0.4</v>
      </c>
      <c r="G78" s="10">
        <f t="shared" si="13"/>
        <v>29458</v>
      </c>
    </row>
    <row r="79" spans="1:7" ht="18" x14ac:dyDescent="0.4">
      <c r="A79" s="5">
        <v>2</v>
      </c>
      <c r="B79" s="5" t="s">
        <v>51</v>
      </c>
      <c r="C79" s="6">
        <v>84</v>
      </c>
      <c r="D79" s="7">
        <v>7.9199999999999993E-2</v>
      </c>
      <c r="E79" s="8">
        <f t="shared" si="12"/>
        <v>914.31384647051993</v>
      </c>
      <c r="F79" s="9">
        <v>0.35</v>
      </c>
      <c r="G79" s="10">
        <f t="shared" si="13"/>
        <v>25775.75</v>
      </c>
    </row>
    <row r="80" spans="1:7" ht="18" x14ac:dyDescent="0.4">
      <c r="A80" s="5">
        <v>3</v>
      </c>
      <c r="B80" s="5" t="s">
        <v>51</v>
      </c>
      <c r="C80" s="6">
        <v>24</v>
      </c>
      <c r="D80" s="7">
        <v>0.113</v>
      </c>
      <c r="E80" s="8">
        <f t="shared" si="12"/>
        <v>1793.1745295332273</v>
      </c>
      <c r="F80" s="9">
        <v>0.6</v>
      </c>
      <c r="G80" s="10">
        <f t="shared" si="13"/>
        <v>44187</v>
      </c>
    </row>
    <row r="81" spans="1:7" ht="18" x14ac:dyDescent="0.4">
      <c r="A81" s="5">
        <v>3</v>
      </c>
      <c r="B81" s="5" t="s">
        <v>51</v>
      </c>
      <c r="C81" s="6">
        <v>36</v>
      </c>
      <c r="D81" s="7">
        <v>0.1021</v>
      </c>
      <c r="E81" s="8">
        <f t="shared" si="12"/>
        <v>1417.2409655656631</v>
      </c>
      <c r="F81" s="9">
        <v>0.55000000000000004</v>
      </c>
      <c r="G81" s="10">
        <f t="shared" si="13"/>
        <v>40504.75</v>
      </c>
    </row>
    <row r="82" spans="1:7" ht="18" x14ac:dyDescent="0.4">
      <c r="A82" s="5">
        <v>3</v>
      </c>
      <c r="B82" s="5" t="s">
        <v>51</v>
      </c>
      <c r="C82" s="6">
        <v>48</v>
      </c>
      <c r="D82" s="7">
        <v>9.3799999999999994E-2</v>
      </c>
      <c r="E82" s="8">
        <f t="shared" si="12"/>
        <v>1210.8172280204326</v>
      </c>
      <c r="F82" s="9">
        <v>0.5</v>
      </c>
      <c r="G82" s="10">
        <f t="shared" si="13"/>
        <v>36822.5</v>
      </c>
    </row>
    <row r="83" spans="1:7" ht="18" x14ac:dyDescent="0.4">
      <c r="A83" s="5">
        <v>3</v>
      </c>
      <c r="B83" s="5" t="s">
        <v>51</v>
      </c>
      <c r="C83" s="6">
        <v>60</v>
      </c>
      <c r="D83" s="7">
        <v>8.7599999999999997E-2</v>
      </c>
      <c r="E83" s="8">
        <f t="shared" si="12"/>
        <v>1078.0256906225341</v>
      </c>
      <c r="F83" s="9">
        <v>0.45</v>
      </c>
      <c r="G83" s="10">
        <f t="shared" si="13"/>
        <v>33140.25</v>
      </c>
    </row>
    <row r="84" spans="1:7" ht="18" x14ac:dyDescent="0.4">
      <c r="A84" s="5">
        <v>3</v>
      </c>
      <c r="B84" s="5" t="s">
        <v>51</v>
      </c>
      <c r="C84" s="6">
        <v>72</v>
      </c>
      <c r="D84" s="7">
        <v>8.3499999999999991E-2</v>
      </c>
      <c r="E84" s="8">
        <f t="shared" si="12"/>
        <v>987.29307734478846</v>
      </c>
      <c r="F84" s="9">
        <v>0.4</v>
      </c>
      <c r="G84" s="10">
        <f t="shared" si="13"/>
        <v>29458</v>
      </c>
    </row>
    <row r="85" spans="1:7" ht="18" x14ac:dyDescent="0.4">
      <c r="A85" s="5">
        <v>3</v>
      </c>
      <c r="B85" s="5" t="s">
        <v>51</v>
      </c>
      <c r="C85" s="6">
        <v>84</v>
      </c>
      <c r="D85" s="7">
        <v>8.2299999999999998E-2</v>
      </c>
      <c r="E85" s="8">
        <f t="shared" si="12"/>
        <v>928.37617403106276</v>
      </c>
      <c r="F85" s="9">
        <v>0.35</v>
      </c>
      <c r="G85" s="10">
        <f t="shared" si="13"/>
        <v>25775.75</v>
      </c>
    </row>
    <row r="86" spans="1:7" ht="18" x14ac:dyDescent="0.4">
      <c r="A86" s="5">
        <v>4</v>
      </c>
      <c r="B86" s="5" t="s">
        <v>51</v>
      </c>
      <c r="C86" s="6">
        <v>24</v>
      </c>
      <c r="D86" s="7">
        <v>0.123</v>
      </c>
      <c r="E86" s="8">
        <f t="shared" si="12"/>
        <v>1843.7377003545068</v>
      </c>
      <c r="F86" s="9">
        <v>0.6</v>
      </c>
      <c r="G86" s="10">
        <f t="shared" si="13"/>
        <v>44187</v>
      </c>
    </row>
    <row r="87" spans="1:7" ht="18" x14ac:dyDescent="0.4">
      <c r="A87" s="5">
        <v>4</v>
      </c>
      <c r="B87" s="5" t="s">
        <v>51</v>
      </c>
      <c r="C87" s="6">
        <v>36</v>
      </c>
      <c r="D87" s="7">
        <v>0.10880000000000001</v>
      </c>
      <c r="E87" s="8">
        <f t="shared" si="12"/>
        <v>1450.3300247520754</v>
      </c>
      <c r="F87" s="9">
        <v>0.55000000000000004</v>
      </c>
      <c r="G87" s="10">
        <f t="shared" si="13"/>
        <v>40504.75</v>
      </c>
    </row>
    <row r="88" spans="1:7" ht="18" x14ac:dyDescent="0.4">
      <c r="A88" s="5">
        <v>4</v>
      </c>
      <c r="B88" s="5" t="s">
        <v>51</v>
      </c>
      <c r="C88" s="6">
        <v>48</v>
      </c>
      <c r="D88" s="7">
        <v>9.8900000000000002E-2</v>
      </c>
      <c r="E88" s="8">
        <f t="shared" si="12"/>
        <v>1235.4484855597698</v>
      </c>
      <c r="F88" s="9">
        <v>0.5</v>
      </c>
      <c r="G88" s="10">
        <f t="shared" si="13"/>
        <v>36822.5</v>
      </c>
    </row>
    <row r="89" spans="1:7" ht="18" x14ac:dyDescent="0.4">
      <c r="A89" s="5">
        <v>4</v>
      </c>
      <c r="B89" s="5" t="s">
        <v>51</v>
      </c>
      <c r="C89" s="6">
        <v>60</v>
      </c>
      <c r="D89" s="7">
        <v>9.1799999999999993E-2</v>
      </c>
      <c r="E89" s="8">
        <f t="shared" si="12"/>
        <v>1097.8777972566666</v>
      </c>
      <c r="F89" s="9">
        <v>0.45</v>
      </c>
      <c r="G89" s="10">
        <f t="shared" si="13"/>
        <v>33140.25</v>
      </c>
    </row>
    <row r="90" spans="1:7" ht="18" x14ac:dyDescent="0.4">
      <c r="A90" s="5">
        <v>4</v>
      </c>
      <c r="B90" s="5" t="s">
        <v>51</v>
      </c>
      <c r="C90" s="6">
        <v>72</v>
      </c>
      <c r="D90" s="7">
        <v>8.6999999999999994E-2</v>
      </c>
      <c r="E90" s="8">
        <f t="shared" si="12"/>
        <v>1003.5017208621917</v>
      </c>
      <c r="F90" s="9">
        <v>0.4</v>
      </c>
      <c r="G90" s="10">
        <f t="shared" si="13"/>
        <v>29458</v>
      </c>
    </row>
    <row r="91" spans="1:7" ht="18" x14ac:dyDescent="0.4">
      <c r="A91" s="5">
        <v>4</v>
      </c>
      <c r="B91" s="5" t="s">
        <v>51</v>
      </c>
      <c r="C91" s="6">
        <v>84</v>
      </c>
      <c r="D91" s="7">
        <v>8.539999999999999E-2</v>
      </c>
      <c r="E91" s="8">
        <f t="shared" si="12"/>
        <v>942.4813325759967</v>
      </c>
      <c r="F91" s="9">
        <v>0.35</v>
      </c>
      <c r="G91" s="10">
        <f t="shared" si="13"/>
        <v>25775.75</v>
      </c>
    </row>
    <row r="92" spans="1:7" ht="18" x14ac:dyDescent="0.4">
      <c r="A92" s="5">
        <v>0</v>
      </c>
      <c r="B92" s="5" t="s">
        <v>52</v>
      </c>
      <c r="C92" s="6">
        <v>24</v>
      </c>
      <c r="D92" s="7">
        <v>8.5599999999999996E-2</v>
      </c>
      <c r="E92" s="8">
        <f t="shared" ref="E92:E121" si="14">PMT(D92/12,C92,-dealTotal)</f>
        <v>3349.6048782140356</v>
      </c>
      <c r="F92" s="9"/>
      <c r="G92" s="10"/>
    </row>
    <row r="93" spans="1:7" ht="18" x14ac:dyDescent="0.4">
      <c r="A93" s="5">
        <v>0</v>
      </c>
      <c r="B93" s="5" t="s">
        <v>52</v>
      </c>
      <c r="C93" s="6">
        <v>36</v>
      </c>
      <c r="D93" s="7">
        <v>7.7499999999999999E-2</v>
      </c>
      <c r="E93" s="8">
        <f t="shared" si="14"/>
        <v>2299.2825965149723</v>
      </c>
      <c r="F93" s="9"/>
      <c r="G93" s="10"/>
    </row>
    <row r="94" spans="1:7" ht="18" x14ac:dyDescent="0.4">
      <c r="A94" s="5">
        <v>0</v>
      </c>
      <c r="B94" s="5" t="s">
        <v>52</v>
      </c>
      <c r="C94" s="6">
        <v>48</v>
      </c>
      <c r="D94" s="7">
        <v>7.619999999999999E-2</v>
      </c>
      <c r="E94" s="8">
        <f t="shared" si="14"/>
        <v>1784.7823485459071</v>
      </c>
      <c r="F94" s="9"/>
      <c r="G94" s="10"/>
    </row>
    <row r="95" spans="1:7" ht="18" x14ac:dyDescent="0.4">
      <c r="A95" s="5">
        <v>0</v>
      </c>
      <c r="B95" s="5" t="s">
        <v>52</v>
      </c>
      <c r="C95" s="6">
        <v>60</v>
      </c>
      <c r="D95" s="7">
        <v>7.22E-2</v>
      </c>
      <c r="E95" s="8">
        <f t="shared" si="14"/>
        <v>1465.9154636580679</v>
      </c>
      <c r="F95" s="9"/>
      <c r="G95" s="10"/>
    </row>
    <row r="96" spans="1:7" ht="18" x14ac:dyDescent="0.4">
      <c r="A96" s="5">
        <v>0</v>
      </c>
      <c r="B96" s="5" t="s">
        <v>52</v>
      </c>
      <c r="C96" s="6">
        <v>72</v>
      </c>
      <c r="D96" s="7">
        <v>7.1900000000000006E-2</v>
      </c>
      <c r="E96" s="8">
        <f t="shared" si="14"/>
        <v>1262.3038753696114</v>
      </c>
      <c r="F96" s="9"/>
      <c r="G96" s="10"/>
    </row>
    <row r="97" spans="1:7" ht="18" x14ac:dyDescent="0.4">
      <c r="A97" s="5">
        <v>0</v>
      </c>
      <c r="B97" s="5" t="s">
        <v>52</v>
      </c>
      <c r="C97" s="6">
        <v>84</v>
      </c>
      <c r="D97" s="7">
        <v>6.88E-2</v>
      </c>
      <c r="E97" s="8">
        <f t="shared" si="14"/>
        <v>1107.1853113663178</v>
      </c>
      <c r="F97" s="9"/>
      <c r="G97" s="10"/>
    </row>
    <row r="98" spans="1:7" ht="18" x14ac:dyDescent="0.4">
      <c r="A98" s="5">
        <v>1</v>
      </c>
      <c r="B98" s="5" t="s">
        <v>52</v>
      </c>
      <c r="C98" s="6">
        <v>24</v>
      </c>
      <c r="D98" s="7">
        <v>8.5599999999999996E-2</v>
      </c>
      <c r="E98" s="8">
        <f t="shared" si="14"/>
        <v>3349.6048782140356</v>
      </c>
      <c r="F98" s="9"/>
      <c r="G98" s="10"/>
    </row>
    <row r="99" spans="1:7" ht="18" x14ac:dyDescent="0.4">
      <c r="A99" s="5">
        <v>1</v>
      </c>
      <c r="B99" s="5" t="s">
        <v>52</v>
      </c>
      <c r="C99" s="6">
        <v>36</v>
      </c>
      <c r="D99" s="7">
        <v>7.7499999999999999E-2</v>
      </c>
      <c r="E99" s="8">
        <f t="shared" si="14"/>
        <v>2299.2825965149723</v>
      </c>
      <c r="F99" s="9"/>
      <c r="G99" s="10"/>
    </row>
    <row r="100" spans="1:7" ht="18" x14ac:dyDescent="0.4">
      <c r="A100" s="5">
        <v>1</v>
      </c>
      <c r="B100" s="5" t="s">
        <v>52</v>
      </c>
      <c r="C100" s="6">
        <v>48</v>
      </c>
      <c r="D100" s="7">
        <v>7.619999999999999E-2</v>
      </c>
      <c r="E100" s="8">
        <f t="shared" si="14"/>
        <v>1784.7823485459071</v>
      </c>
      <c r="F100" s="9"/>
      <c r="G100" s="10"/>
    </row>
    <row r="101" spans="1:7" ht="18" x14ac:dyDescent="0.4">
      <c r="A101" s="5">
        <v>1</v>
      </c>
      <c r="B101" s="5" t="s">
        <v>52</v>
      </c>
      <c r="C101" s="6">
        <v>60</v>
      </c>
      <c r="D101" s="7">
        <v>7.22E-2</v>
      </c>
      <c r="E101" s="8">
        <f t="shared" si="14"/>
        <v>1465.9154636580679</v>
      </c>
      <c r="F101" s="9"/>
      <c r="G101" s="10"/>
    </row>
    <row r="102" spans="1:7" ht="18" x14ac:dyDescent="0.4">
      <c r="A102" s="5">
        <v>1</v>
      </c>
      <c r="B102" s="5" t="s">
        <v>52</v>
      </c>
      <c r="C102" s="6">
        <v>72</v>
      </c>
      <c r="D102" s="7">
        <v>7.1900000000000006E-2</v>
      </c>
      <c r="E102" s="8">
        <f t="shared" si="14"/>
        <v>1262.3038753696114</v>
      </c>
      <c r="F102" s="9"/>
      <c r="G102" s="10"/>
    </row>
    <row r="103" spans="1:7" ht="18" x14ac:dyDescent="0.4">
      <c r="A103" s="5">
        <v>1</v>
      </c>
      <c r="B103" s="5" t="s">
        <v>52</v>
      </c>
      <c r="C103" s="6">
        <v>84</v>
      </c>
      <c r="D103" s="7">
        <v>6.88E-2</v>
      </c>
      <c r="E103" s="8">
        <f t="shared" si="14"/>
        <v>1107.1853113663178</v>
      </c>
      <c r="F103" s="9"/>
      <c r="G103" s="10"/>
    </row>
    <row r="104" spans="1:7" ht="18" x14ac:dyDescent="0.4">
      <c r="A104" s="5">
        <v>2</v>
      </c>
      <c r="B104" s="5" t="s">
        <v>52</v>
      </c>
      <c r="C104" s="6">
        <v>24</v>
      </c>
      <c r="D104" s="7">
        <v>9.5600000000000004E-2</v>
      </c>
      <c r="E104" s="8">
        <f t="shared" si="14"/>
        <v>3383.4066144199201</v>
      </c>
      <c r="F104" s="9"/>
      <c r="G104" s="10"/>
    </row>
    <row r="105" spans="1:7" ht="18" x14ac:dyDescent="0.4">
      <c r="A105" s="5">
        <v>2</v>
      </c>
      <c r="B105" s="5" t="s">
        <v>52</v>
      </c>
      <c r="C105" s="6">
        <v>36</v>
      </c>
      <c r="D105" s="7">
        <v>8.4199999999999997E-2</v>
      </c>
      <c r="E105" s="8">
        <f t="shared" si="14"/>
        <v>2322.0622812747392</v>
      </c>
      <c r="F105" s="9"/>
      <c r="G105" s="10"/>
    </row>
    <row r="106" spans="1:7" ht="18" x14ac:dyDescent="0.4">
      <c r="A106" s="5">
        <v>2</v>
      </c>
      <c r="B106" s="5" t="s">
        <v>52</v>
      </c>
      <c r="C106" s="6">
        <v>48</v>
      </c>
      <c r="D106" s="7">
        <v>8.1299999999999997E-2</v>
      </c>
      <c r="E106" s="8">
        <f t="shared" si="14"/>
        <v>1802.3870391293681</v>
      </c>
      <c r="F106" s="9"/>
      <c r="G106" s="10"/>
    </row>
    <row r="107" spans="1:7" ht="18" x14ac:dyDescent="0.4">
      <c r="A107" s="5">
        <v>2</v>
      </c>
      <c r="B107" s="5" t="s">
        <v>52</v>
      </c>
      <c r="C107" s="6">
        <v>60</v>
      </c>
      <c r="D107" s="7">
        <v>7.5700000000000003E-2</v>
      </c>
      <c r="E107" s="8">
        <f t="shared" si="14"/>
        <v>1478.1456605402223</v>
      </c>
      <c r="F107" s="9"/>
      <c r="G107" s="10"/>
    </row>
    <row r="108" spans="1:7" ht="18" x14ac:dyDescent="0.4">
      <c r="A108" s="5">
        <v>2</v>
      </c>
      <c r="B108" s="5" t="s">
        <v>52</v>
      </c>
      <c r="C108" s="6">
        <v>72</v>
      </c>
      <c r="D108" s="7">
        <v>7.4999999999999997E-2</v>
      </c>
      <c r="E108" s="8">
        <f t="shared" si="14"/>
        <v>1273.3303199140389</v>
      </c>
      <c r="F108" s="9"/>
      <c r="G108" s="10"/>
    </row>
    <row r="109" spans="1:7" ht="18" x14ac:dyDescent="0.4">
      <c r="A109" s="5">
        <v>2</v>
      </c>
      <c r="B109" s="5" t="s">
        <v>52</v>
      </c>
      <c r="C109" s="6">
        <v>84</v>
      </c>
      <c r="D109" s="7">
        <v>6.88E-2</v>
      </c>
      <c r="E109" s="8">
        <f t="shared" si="14"/>
        <v>1107.1853113663178</v>
      </c>
      <c r="F109" s="9"/>
      <c r="G109" s="10"/>
    </row>
    <row r="110" spans="1:7" ht="18" x14ac:dyDescent="0.4">
      <c r="A110" s="5">
        <v>3</v>
      </c>
      <c r="B110" s="5" t="s">
        <v>52</v>
      </c>
      <c r="C110" s="6">
        <v>24</v>
      </c>
      <c r="D110" s="7">
        <v>0.1056</v>
      </c>
      <c r="E110" s="8">
        <f t="shared" si="14"/>
        <v>3417.4094174171951</v>
      </c>
      <c r="F110" s="9"/>
      <c r="G110" s="10"/>
    </row>
    <row r="111" spans="1:7" ht="18" x14ac:dyDescent="0.4">
      <c r="A111" s="5">
        <v>3</v>
      </c>
      <c r="B111" s="5" t="s">
        <v>52</v>
      </c>
      <c r="C111" s="6">
        <v>36</v>
      </c>
      <c r="D111" s="7">
        <v>9.0900000000000009E-2</v>
      </c>
      <c r="E111" s="8">
        <f t="shared" si="14"/>
        <v>2344.9773100671582</v>
      </c>
      <c r="F111" s="9"/>
      <c r="G111" s="10"/>
    </row>
    <row r="112" spans="1:7" ht="18" x14ac:dyDescent="0.4">
      <c r="A112" s="5">
        <v>3</v>
      </c>
      <c r="B112" s="5" t="s">
        <v>52</v>
      </c>
      <c r="C112" s="6">
        <v>48</v>
      </c>
      <c r="D112" s="7">
        <v>8.6400000000000005E-2</v>
      </c>
      <c r="E112" s="8">
        <f t="shared" si="14"/>
        <v>1820.0959288801007</v>
      </c>
      <c r="F112" s="9"/>
      <c r="G112" s="10"/>
    </row>
    <row r="113" spans="1:7" ht="18" x14ac:dyDescent="0.4">
      <c r="A113" s="5">
        <v>3</v>
      </c>
      <c r="B113" s="5" t="s">
        <v>52</v>
      </c>
      <c r="C113" s="6">
        <v>60</v>
      </c>
      <c r="D113" s="7">
        <v>7.9199999999999993E-2</v>
      </c>
      <c r="E113" s="8">
        <f t="shared" si="14"/>
        <v>1490.4370253234372</v>
      </c>
      <c r="F113" s="9"/>
      <c r="G113" s="10"/>
    </row>
    <row r="114" spans="1:7" ht="18" x14ac:dyDescent="0.4">
      <c r="A114" s="5">
        <v>3</v>
      </c>
      <c r="B114" s="5" t="s">
        <v>52</v>
      </c>
      <c r="C114" s="6">
        <v>72</v>
      </c>
      <c r="D114" s="7">
        <v>7.8100000000000003E-2</v>
      </c>
      <c r="E114" s="8">
        <f t="shared" si="14"/>
        <v>1284.4140200378663</v>
      </c>
      <c r="F114" s="9"/>
      <c r="G114" s="10"/>
    </row>
    <row r="115" spans="1:7" ht="18" x14ac:dyDescent="0.4">
      <c r="A115" s="5">
        <v>3</v>
      </c>
      <c r="B115" s="5" t="s">
        <v>52</v>
      </c>
      <c r="C115" s="6">
        <v>84</v>
      </c>
      <c r="D115" s="7">
        <v>6.88E-2</v>
      </c>
      <c r="E115" s="8">
        <f t="shared" si="14"/>
        <v>1107.1853113663178</v>
      </c>
      <c r="F115" s="9"/>
      <c r="G115" s="10"/>
    </row>
    <row r="116" spans="1:7" ht="18" x14ac:dyDescent="0.4">
      <c r="A116" s="5">
        <v>4</v>
      </c>
      <c r="B116" s="5" t="s">
        <v>52</v>
      </c>
      <c r="C116" s="6">
        <v>24</v>
      </c>
      <c r="D116" s="7">
        <v>0.11560000000000001</v>
      </c>
      <c r="E116" s="8">
        <f t="shared" si="14"/>
        <v>3451.6128787753191</v>
      </c>
      <c r="F116" s="9"/>
      <c r="G116" s="10"/>
    </row>
    <row r="117" spans="1:7" ht="18" x14ac:dyDescent="0.4">
      <c r="A117" s="5">
        <v>4</v>
      </c>
      <c r="B117" s="5" t="s">
        <v>52</v>
      </c>
      <c r="C117" s="6">
        <v>36</v>
      </c>
      <c r="D117" s="7">
        <v>9.7600000000000006E-2</v>
      </c>
      <c r="E117" s="8">
        <f t="shared" si="14"/>
        <v>2368.0274294645105</v>
      </c>
      <c r="F117" s="9"/>
      <c r="G117" s="10"/>
    </row>
    <row r="118" spans="1:7" ht="18" x14ac:dyDescent="0.4">
      <c r="A118" s="5">
        <v>4</v>
      </c>
      <c r="B118" s="5" t="s">
        <v>52</v>
      </c>
      <c r="C118" s="6">
        <v>48</v>
      </c>
      <c r="D118" s="7">
        <v>9.1499999999999998E-2</v>
      </c>
      <c r="E118" s="8">
        <f t="shared" si="14"/>
        <v>1837.9088112491213</v>
      </c>
      <c r="F118" s="9"/>
      <c r="G118" s="10"/>
    </row>
    <row r="119" spans="1:7" ht="18" x14ac:dyDescent="0.4">
      <c r="A119" s="5">
        <v>4</v>
      </c>
      <c r="B119" s="5" t="s">
        <v>52</v>
      </c>
      <c r="C119" s="6">
        <v>60</v>
      </c>
      <c r="D119" s="7">
        <v>8.2699999999999996E-2</v>
      </c>
      <c r="E119" s="8">
        <f t="shared" si="14"/>
        <v>1502.7894496450651</v>
      </c>
      <c r="F119" s="9"/>
      <c r="G119" s="10"/>
    </row>
    <row r="120" spans="1:7" ht="18" x14ac:dyDescent="0.4">
      <c r="A120" s="5">
        <v>4</v>
      </c>
      <c r="B120" s="5" t="s">
        <v>52</v>
      </c>
      <c r="C120" s="6">
        <v>72</v>
      </c>
      <c r="D120" s="7">
        <v>8.1199999999999994E-2</v>
      </c>
      <c r="E120" s="8">
        <f t="shared" si="14"/>
        <v>1295.5548573117323</v>
      </c>
      <c r="F120" s="9"/>
      <c r="G120" s="10"/>
    </row>
    <row r="121" spans="1:7" ht="18" x14ac:dyDescent="0.4">
      <c r="A121" s="5">
        <v>4</v>
      </c>
      <c r="B121" s="5" t="s">
        <v>52</v>
      </c>
      <c r="C121" s="6">
        <v>84</v>
      </c>
      <c r="D121" s="7">
        <v>6.88E-2</v>
      </c>
      <c r="E121" s="8">
        <f t="shared" si="14"/>
        <v>1107.1853113663178</v>
      </c>
      <c r="F121" s="9"/>
      <c r="G121" s="10"/>
    </row>
  </sheetData>
  <sheetProtection formatRows="0" insertRows="0" deleteRows="0"/>
  <autoFilter ref="A1:S121" xr:uid="{3577DF24-1D92-4FEE-82C6-244A2C5CBE98}"/>
  <mergeCells count="1">
    <mergeCell ref="I12:Q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Payments</vt:lpstr>
      <vt:lpstr>Used 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 Maxwell</dc:creator>
  <cp:lastModifiedBy>Rod Maxwell</cp:lastModifiedBy>
  <dcterms:created xsi:type="dcterms:W3CDTF">2026-06-09T15:14:11Z</dcterms:created>
  <dcterms:modified xsi:type="dcterms:W3CDTF">2026-06-09T16:36:43Z</dcterms:modified>
</cp:coreProperties>
</file>